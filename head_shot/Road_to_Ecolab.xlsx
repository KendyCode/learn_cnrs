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e" sheetId="1" state="visible" r:id="rId1"/>
    <sheet name="Program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NUMERO_E</t>
        </is>
      </c>
      <c r="B1" s="1" t="inlineStr">
        <is>
          <t>HEURE_E</t>
        </is>
      </c>
      <c r="C1" s="1" t="inlineStr">
        <is>
          <t>MINUTE_E</t>
        </is>
      </c>
      <c r="D1" s="1" t="inlineStr">
        <is>
          <t>SECONDE_E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No_Pas</t>
        </is>
      </c>
      <c r="B1" s="1" t="inlineStr">
        <is>
          <t>mn</t>
        </is>
      </c>
      <c r="C1" s="1" t="inlineStr">
        <is>
          <t>secondes</t>
        </is>
      </c>
      <c r="D1" s="1" t="inlineStr">
        <is>
          <t>no h</t>
        </is>
      </c>
      <c r="E1" s="1" t="inlineStr">
        <is>
          <t>no jours</t>
        </is>
      </c>
      <c r="F1" s="1" t="inlineStr">
        <is>
          <t>TEMP_CEL</t>
        </is>
      </c>
      <c r="G1" s="1" t="inlineStr">
        <is>
          <t>REGUL_ECORIUM</t>
        </is>
      </c>
      <c r="H1" s="1" t="inlineStr">
        <is>
          <t>T_ECOR_FOND</t>
        </is>
      </c>
      <c r="I1" s="1" t="inlineStr">
        <is>
          <t>T_ECOR_INF</t>
        </is>
      </c>
      <c r="J1" s="1" t="inlineStr">
        <is>
          <t>T_ECOR_SUP</t>
        </is>
      </c>
      <c r="K1" s="1" t="inlineStr">
        <is>
          <t>REGUL_HYG</t>
        </is>
      </c>
      <c r="L1" s="1" t="inlineStr">
        <is>
          <t>HYG_CEL</t>
        </is>
      </c>
      <c r="M1" s="1" t="inlineStr">
        <is>
          <t>REGUL_PRESSION</t>
        </is>
      </c>
      <c r="N1" s="1" t="inlineStr">
        <is>
          <t>PRESSION</t>
        </is>
      </c>
      <c r="O1" s="1" t="inlineStr">
        <is>
          <t>REGUL_C</t>
        </is>
      </c>
      <c r="P1" s="1" t="inlineStr">
        <is>
          <t>C</t>
        </is>
      </c>
      <c r="Q1" s="1" t="inlineStr">
        <is>
          <t>REGUL_O</t>
        </is>
      </c>
      <c r="R1" s="1" t="inlineStr">
        <is>
          <t>O</t>
        </is>
      </c>
      <c r="S1" s="1" t="inlineStr">
        <is>
          <t>REGUL_N</t>
        </is>
      </c>
      <c r="T1" s="1" t="inlineStr">
        <is>
          <t>N</t>
        </is>
      </c>
      <c r="U1" s="1" t="inlineStr">
        <is>
          <t>REGUL_X</t>
        </is>
      </c>
      <c r="V1" s="1" t="inlineStr">
        <is>
          <t>X</t>
        </is>
      </c>
      <c r="W1" s="1" t="inlineStr">
        <is>
          <t>HAUT_ECOLUX</t>
        </is>
      </c>
      <c r="X1" s="1" t="inlineStr">
        <is>
          <t>INT_ECOLUX</t>
        </is>
      </c>
      <c r="Y1" s="1" t="inlineStr">
        <is>
          <t>CONFIG_ECOLUX</t>
        </is>
      </c>
      <c r="Z1" s="1" t="inlineStr">
        <is>
          <t>INT_PLUIE</t>
        </is>
      </c>
      <c r="AA1" s="1" t="inlineStr">
        <is>
          <t>VITESSE_VENT</t>
        </is>
      </c>
      <c r="AB1" s="1" t="inlineStr">
        <is>
          <t>VENT_LATERAL_UN</t>
        </is>
      </c>
      <c r="AC1" s="1" t="inlineStr">
        <is>
          <t>VENT_LATERAL_DEUX</t>
        </is>
      </c>
      <c r="AD1" s="1" t="inlineStr">
        <is>
          <t>VENT_LATERAL_TROIS</t>
        </is>
      </c>
      <c r="AE1" s="1" t="inlineStr">
        <is>
          <t>VENT_LATERAL_QUATRE</t>
        </is>
      </c>
      <c r="AF1" s="1" t="inlineStr">
        <is>
          <t>INT_VENT_LAT</t>
        </is>
      </c>
      <c r="AG1" s="1" t="inlineStr">
        <is>
          <t>RENO_AIR</t>
        </is>
      </c>
      <c r="AH1" s="1" t="inlineStr">
        <is>
          <t>EVENT Chromato</t>
        </is>
      </c>
      <c r="AI1" s="1" t="inlineStr"/>
      <c r="AJ1" s="1" t="inlineStr">
        <is>
          <t>CONFIG_MES_INCUB</t>
        </is>
      </c>
      <c r="AK1" s="1" t="inlineStr">
        <is>
          <t>ACTION_1</t>
        </is>
      </c>
      <c r="AL1" s="1" t="inlineStr">
        <is>
          <t>ACTION_2</t>
        </is>
      </c>
      <c r="AM1" s="1" t="inlineStr">
        <is>
          <t>ACTION_3</t>
        </is>
      </c>
      <c r="AN1" s="1" t="inlineStr">
        <is>
          <t>ACTION_4</t>
        </is>
      </c>
      <c r="AO1" s="1" t="inlineStr">
        <is>
          <t>ACTION_5</t>
        </is>
      </c>
      <c r="AP1" s="1" t="inlineStr">
        <is>
          <t>ACTION_6</t>
        </is>
      </c>
      <c r="AQ1" s="1" t="inlineStr">
        <is>
          <t>ACTION_7</t>
        </is>
      </c>
      <c r="AR1" s="1" t="inlineStr">
        <is>
          <t>ACTION_8</t>
        </is>
      </c>
      <c r="AS1" s="1" t="inlineStr">
        <is>
          <t>ACTION_9</t>
        </is>
      </c>
      <c r="AT1" s="1" t="inlineStr">
        <is>
          <t>ACTION_10</t>
        </is>
      </c>
      <c r="AU1" s="1" t="inlineStr">
        <is>
          <t>ACTION_11</t>
        </is>
      </c>
      <c r="AV1" s="1" t="inlineStr">
        <is>
          <t>ACTION_12</t>
        </is>
      </c>
      <c r="AW1" s="1" t="inlineStr">
        <is>
          <t>ACTION_13</t>
        </is>
      </c>
      <c r="AX1" s="1" t="inlineStr">
        <is>
          <t>ACTION_14</t>
        </is>
      </c>
      <c r="AY1" s="1" t="inlineStr">
        <is>
          <t>ACTION_15</t>
        </is>
      </c>
      <c r="AZ1" s="1" t="inlineStr">
        <is>
          <t>TEMP_PLUIE</t>
        </is>
      </c>
      <c r="BA1" s="1" t="inlineStr">
        <is>
          <t>CHROMATO</t>
        </is>
      </c>
      <c r="BB1" s="1" t="inlineStr">
        <is>
          <t>EV_VIDANGE_ECORIUM</t>
        </is>
      </c>
      <c r="BC1" s="1" t="inlineStr">
        <is>
          <t>VIDANGE_CANIVEAU</t>
        </is>
      </c>
      <c r="BD1" s="1" t="inlineStr">
        <is>
          <t>EV_VIDANGE_CLIM</t>
        </is>
      </c>
      <c r="BE1" s="1" t="inlineStr"/>
      <c r="BF1" s="1" t="inlineStr">
        <is>
          <t>MAX T</t>
        </is>
      </c>
      <c r="BG1" s="1" t="inlineStr">
        <is>
          <t>MIN T</t>
        </is>
      </c>
      <c r="BH1" s="1" t="inlineStr">
        <is>
          <t>MAX HR</t>
        </is>
      </c>
      <c r="BI1" s="1" t="inlineStr">
        <is>
          <t>MIN HR</t>
        </is>
      </c>
      <c r="BJ1" s="1" t="inlineStr">
        <is>
          <t>tests valeurs Temp</t>
        </is>
      </c>
      <c r="BK1" s="1" t="inlineStr">
        <is>
          <t>tests valeurs Hum</t>
        </is>
      </c>
      <c r="BL1" s="1" t="inlineStr">
        <is>
          <t>MARCHE</t>
        </is>
      </c>
      <c r="BM1" s="1" t="inlineStr">
        <is>
          <t>HYG_Corrigée pour Temp &lt; 0</t>
        </is>
      </c>
      <c r="BN1" s="1" t="inlineStr">
        <is>
          <t>Min Temp</t>
        </is>
      </c>
      <c r="BO1" s="1" t="inlineStr">
        <is>
          <t>Max Temp</t>
        </is>
      </c>
      <c r="BP1" s="1" t="inlineStr">
        <is>
          <t>Temp Mode Mesure</t>
        </is>
      </c>
    </row>
    <row r="2">
      <c r="A2" t="n">
        <v>1</v>
      </c>
      <c r="B2">
        <f>MOD(INT(C2/60),60)</f>
        <v/>
      </c>
      <c r="C2" t="n">
        <v>0</v>
      </c>
      <c r="D2">
        <f>INT(C2/3600)</f>
        <v/>
      </c>
      <c r="E2">
        <f>INT(D2/24)+1</f>
        <v/>
      </c>
      <c r="F2" t="n">
        <v>22</v>
      </c>
      <c r="G2" t="n">
        <v>0</v>
      </c>
      <c r="H2" t="n">
        <v>22</v>
      </c>
      <c r="I2" t="n">
        <v>22</v>
      </c>
      <c r="J2" t="n">
        <v>22</v>
      </c>
      <c r="K2" t="n">
        <v>1</v>
      </c>
      <c r="L2" t="n">
        <v>60</v>
      </c>
      <c r="M2" t="n">
        <v>0</v>
      </c>
      <c r="N2" t="n">
        <v>0</v>
      </c>
      <c r="O2" t="n">
        <v>1</v>
      </c>
      <c r="P2" t="n">
        <v>450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>
        <f>A2+1</f>
        <v/>
      </c>
      <c r="B3">
        <f>MOD(INT(C3/60),60)</f>
        <v/>
      </c>
      <c r="C3">
        <f>C2+300</f>
        <v/>
      </c>
      <c r="D3">
        <f>INT(C3/3600)</f>
        <v/>
      </c>
      <c r="E3">
        <f>INT(D3/24)+1</f>
        <v/>
      </c>
      <c r="F3" t="n">
        <v>22</v>
      </c>
      <c r="G3" t="n">
        <v>0</v>
      </c>
      <c r="H3" t="n">
        <v>22</v>
      </c>
      <c r="I3" t="n">
        <v>22</v>
      </c>
      <c r="J3" t="n">
        <v>22</v>
      </c>
      <c r="K3" t="n">
        <v>1</v>
      </c>
      <c r="L3" t="n">
        <v>60</v>
      </c>
      <c r="M3" t="n">
        <v>0</v>
      </c>
      <c r="N3" t="n">
        <v>0</v>
      </c>
      <c r="O3" t="n">
        <v>1</v>
      </c>
      <c r="P3" t="n">
        <v>450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>
        <f>A3+1</f>
        <v/>
      </c>
      <c r="B4">
        <f>MOD(INT(C4/60),60)</f>
        <v/>
      </c>
      <c r="C4">
        <f>C3+300</f>
        <v/>
      </c>
      <c r="D4">
        <f>INT(C4/3600)</f>
        <v/>
      </c>
      <c r="E4">
        <f>INT(D4/24)+1</f>
        <v/>
      </c>
      <c r="F4" t="n">
        <v>22</v>
      </c>
      <c r="G4" t="n">
        <v>0</v>
      </c>
      <c r="H4" t="n">
        <v>22</v>
      </c>
      <c r="I4" t="n">
        <v>22</v>
      </c>
      <c r="J4" t="n">
        <v>22</v>
      </c>
      <c r="K4" t="n">
        <v>1</v>
      </c>
      <c r="L4" t="n">
        <v>60</v>
      </c>
      <c r="M4" t="n">
        <v>0</v>
      </c>
      <c r="N4" t="n">
        <v>0</v>
      </c>
      <c r="O4" t="n">
        <v>1</v>
      </c>
      <c r="P4" t="n">
        <v>450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>
        <f>A4+1</f>
        <v/>
      </c>
      <c r="B5">
        <f>MOD(INT(C5/60),60)</f>
        <v/>
      </c>
      <c r="C5">
        <f>C4+300</f>
        <v/>
      </c>
      <c r="D5">
        <f>INT(C5/3600)</f>
        <v/>
      </c>
      <c r="E5">
        <f>INT(D5/24)+1</f>
        <v/>
      </c>
      <c r="F5" t="n">
        <v>22</v>
      </c>
      <c r="G5" t="n">
        <v>0</v>
      </c>
      <c r="H5" t="n">
        <v>22</v>
      </c>
      <c r="I5" t="n">
        <v>22</v>
      </c>
      <c r="J5" t="n">
        <v>22</v>
      </c>
      <c r="K5" t="n">
        <v>1</v>
      </c>
      <c r="L5" t="n">
        <v>60</v>
      </c>
      <c r="M5" t="n">
        <v>0</v>
      </c>
      <c r="N5" t="n">
        <v>0</v>
      </c>
      <c r="O5" t="n">
        <v>1</v>
      </c>
      <c r="P5" t="n">
        <v>450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>
        <f>A5+1</f>
        <v/>
      </c>
      <c r="B6">
        <f>MOD(INT(C6/60),60)</f>
        <v/>
      </c>
      <c r="C6">
        <f>C5+300</f>
        <v/>
      </c>
      <c r="D6">
        <f>INT(C6/3600)</f>
        <v/>
      </c>
      <c r="E6">
        <f>INT(D6/24)+1</f>
        <v/>
      </c>
      <c r="F6" t="n">
        <v>22</v>
      </c>
      <c r="G6" t="n">
        <v>0</v>
      </c>
      <c r="H6" t="n">
        <v>22</v>
      </c>
      <c r="I6" t="n">
        <v>22</v>
      </c>
      <c r="J6" t="n">
        <v>22</v>
      </c>
      <c r="K6" t="n">
        <v>1</v>
      </c>
      <c r="L6" t="n">
        <v>60</v>
      </c>
      <c r="M6" t="n">
        <v>0</v>
      </c>
      <c r="N6" t="n">
        <v>0</v>
      </c>
      <c r="O6" t="n">
        <v>1</v>
      </c>
      <c r="P6" t="n">
        <v>450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>
        <f>A6+1</f>
        <v/>
      </c>
      <c r="B7">
        <f>MOD(INT(C7/60),60)</f>
        <v/>
      </c>
      <c r="C7">
        <f>C6+300</f>
        <v/>
      </c>
      <c r="D7">
        <f>INT(C7/3600)</f>
        <v/>
      </c>
      <c r="E7">
        <f>INT(D7/24)+1</f>
        <v/>
      </c>
      <c r="F7" t="n">
        <v>22</v>
      </c>
      <c r="G7" t="n">
        <v>0</v>
      </c>
      <c r="H7" t="n">
        <v>22</v>
      </c>
      <c r="I7" t="n">
        <v>22</v>
      </c>
      <c r="J7" t="n">
        <v>22</v>
      </c>
      <c r="K7" t="n">
        <v>1</v>
      </c>
      <c r="L7" t="n">
        <v>60</v>
      </c>
      <c r="M7" t="n">
        <v>0</v>
      </c>
      <c r="N7" t="n">
        <v>0</v>
      </c>
      <c r="O7" t="n">
        <v>1</v>
      </c>
      <c r="P7" t="n">
        <v>450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60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>
        <f>A7+1</f>
        <v/>
      </c>
      <c r="B8">
        <f>MOD(INT(C8/60),60)</f>
        <v/>
      </c>
      <c r="C8">
        <f>C7+300</f>
        <v/>
      </c>
      <c r="D8">
        <f>INT(C8/3600)</f>
        <v/>
      </c>
      <c r="E8">
        <f>INT(D8/24)+1</f>
        <v/>
      </c>
      <c r="F8" t="n">
        <v>22</v>
      </c>
      <c r="G8" t="n">
        <v>0</v>
      </c>
      <c r="H8" t="n">
        <v>22</v>
      </c>
      <c r="I8" t="n">
        <v>22</v>
      </c>
      <c r="J8" t="n">
        <v>22</v>
      </c>
      <c r="K8" t="n">
        <v>1</v>
      </c>
      <c r="L8" t="n">
        <v>60</v>
      </c>
      <c r="M8" t="n">
        <v>0</v>
      </c>
      <c r="N8" t="n">
        <v>0</v>
      </c>
      <c r="O8" t="n">
        <v>1</v>
      </c>
      <c r="P8" t="n">
        <v>450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>
        <f>A8+1</f>
        <v/>
      </c>
      <c r="B9">
        <f>MOD(INT(C9/60),60)</f>
        <v/>
      </c>
      <c r="C9">
        <f>C8+300</f>
        <v/>
      </c>
      <c r="D9">
        <f>INT(C9/3600)</f>
        <v/>
      </c>
      <c r="E9">
        <f>INT(D9/24)+1</f>
        <v/>
      </c>
      <c r="F9" t="n">
        <v>22</v>
      </c>
      <c r="G9" t="n">
        <v>0</v>
      </c>
      <c r="H9" t="n">
        <v>22</v>
      </c>
      <c r="I9" t="n">
        <v>22</v>
      </c>
      <c r="J9" t="n">
        <v>22</v>
      </c>
      <c r="K9" t="n">
        <v>1</v>
      </c>
      <c r="L9" t="n">
        <v>60</v>
      </c>
      <c r="M9" t="n">
        <v>0</v>
      </c>
      <c r="N9" t="n">
        <v>0</v>
      </c>
      <c r="O9" t="n">
        <v>1</v>
      </c>
      <c r="P9" t="n">
        <v>450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>
        <f>A9+1</f>
        <v/>
      </c>
      <c r="B10">
        <f>MOD(INT(C10/60),60)</f>
        <v/>
      </c>
      <c r="C10">
        <f>C9+300</f>
        <v/>
      </c>
      <c r="D10">
        <f>INT(C10/3600)</f>
        <v/>
      </c>
      <c r="E10">
        <f>INT(D10/24)+1</f>
        <v/>
      </c>
      <c r="F10" t="n">
        <v>22</v>
      </c>
      <c r="G10" t="n">
        <v>0</v>
      </c>
      <c r="H10" t="n">
        <v>22</v>
      </c>
      <c r="I10" t="n">
        <v>22</v>
      </c>
      <c r="J10" t="n">
        <v>22</v>
      </c>
      <c r="K10" t="n">
        <v>1</v>
      </c>
      <c r="L10" t="n">
        <v>60</v>
      </c>
      <c r="M10" t="n">
        <v>0</v>
      </c>
      <c r="N10" t="n">
        <v>0</v>
      </c>
      <c r="O10" t="n">
        <v>1</v>
      </c>
      <c r="P10" t="n">
        <v>450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>
        <f>A10+1</f>
        <v/>
      </c>
      <c r="B11">
        <f>MOD(INT(C11/60),60)</f>
        <v/>
      </c>
      <c r="C11">
        <f>C10+300</f>
        <v/>
      </c>
      <c r="D11">
        <f>INT(C11/3600)</f>
        <v/>
      </c>
      <c r="E11">
        <f>INT(D11/24)+1</f>
        <v/>
      </c>
      <c r="F11" t="n">
        <v>22</v>
      </c>
      <c r="G11" t="n">
        <v>0</v>
      </c>
      <c r="H11" t="n">
        <v>22</v>
      </c>
      <c r="I11" t="n">
        <v>22</v>
      </c>
      <c r="J11" t="n">
        <v>22</v>
      </c>
      <c r="K11" t="n">
        <v>1</v>
      </c>
      <c r="L11" t="n">
        <v>60</v>
      </c>
      <c r="M11" t="n">
        <v>0</v>
      </c>
      <c r="N11" t="n">
        <v>0</v>
      </c>
      <c r="O11" t="n">
        <v>1</v>
      </c>
      <c r="P11" t="n">
        <v>450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2026-01-25T13:18:17Z</dcterms:created>
  <dcterms:modified xsi:type="dcterms:W3CDTF">2026-01-25T13:18:17Z</dcterms:modified>
</cp:coreProperties>
</file>
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tomate" sheetId="1" r:id="rId1"/>
    <sheet name="Programmation" sheetId="2" r:id="rId2"/>
    <sheet name="Infos" sheetId="3" r:id="rId3"/>
    <sheet name="Config" sheetId="4" r:id="rId4"/>
  </sheets>
  <calcPr calcId="124519" fullCalcOnLoad="1"/>
</workbook>
</file>

<file path=xl/sharedStrings.xml><?xml version="1.0" encoding="utf-8"?>
<sst xmlns="http://schemas.openxmlformats.org/spreadsheetml/2006/main" count="161" uniqueCount="134">
  <si>
    <t>NUMERO_E</t>
  </si>
  <si>
    <t>HEURE_E</t>
  </si>
  <si>
    <t>MINUTE_E</t>
  </si>
  <si>
    <t>SECONDE_E</t>
  </si>
  <si>
    <t>REGUL_PRESSION</t>
  </si>
  <si>
    <t>PRESSION</t>
  </si>
  <si>
    <t>REGUL_CO</t>
  </si>
  <si>
    <t>CO</t>
  </si>
  <si>
    <t>REGUL_O</t>
  </si>
  <si>
    <t>O</t>
  </si>
  <si>
    <t>REGUL_N</t>
  </si>
  <si>
    <t>N</t>
  </si>
  <si>
    <t>REGUL_X</t>
  </si>
  <si>
    <t>X</t>
  </si>
  <si>
    <t>HAUTEUR_ECOLUX</t>
  </si>
  <si>
    <t>INTENSITE_ECOLUX</t>
  </si>
  <si>
    <t>CONFIG_ECOLUX</t>
  </si>
  <si>
    <t>PLUIE</t>
  </si>
  <si>
    <t>VITESSE_VENT_PRINC</t>
  </si>
  <si>
    <t>VENT_LATERAL</t>
  </si>
  <si>
    <t>RENO_AIR</t>
  </si>
  <si>
    <t>CONFIG_MES_INCUB</t>
  </si>
  <si>
    <t>ACTION_UN</t>
  </si>
  <si>
    <t>ACTION_DEUX</t>
  </si>
  <si>
    <t>ACTION_TROIS</t>
  </si>
  <si>
    <t>ACTION_QUATRE</t>
  </si>
  <si>
    <t>ACTION_CINQ</t>
  </si>
  <si>
    <t>ACTION_SIX</t>
  </si>
  <si>
    <t>ACTION_SEPT</t>
  </si>
  <si>
    <t>ACTION_HUIT</t>
  </si>
  <si>
    <t>ACTION_NEUF</t>
  </si>
  <si>
    <t>ACTION_DIX</t>
  </si>
  <si>
    <t>ACTION_ONZE</t>
  </si>
  <si>
    <t>ACTION_DOUZE</t>
  </si>
  <si>
    <t>ACTION_TREIZE</t>
  </si>
  <si>
    <t>ACTION_QUATORZE</t>
  </si>
  <si>
    <t>ACTION_QUINZE</t>
  </si>
  <si>
    <t>TEMP_PLUIE</t>
  </si>
  <si>
    <t>CHROMATO</t>
  </si>
  <si>
    <t>EV_VIDANGE_ECORIUM</t>
  </si>
  <si>
    <t>EV_VIDANGE_CANIVEAU</t>
  </si>
  <si>
    <t>EV_VIDANGE_CLIM</t>
  </si>
  <si>
    <t>CONSIGNE_ESSAI</t>
  </si>
  <si>
    <t>P_VAP_SAT</t>
  </si>
  <si>
    <t>PT_ROSEE</t>
  </si>
  <si>
    <t>HS_PROGR</t>
  </si>
  <si>
    <t>T_BALLON_CHAUD</t>
  </si>
  <si>
    <t>T_BALLON_FROID</t>
  </si>
  <si>
    <t>BALLON_CHAUD_REEL</t>
  </si>
  <si>
    <t>BALLON_FROID_REEL</t>
  </si>
  <si>
    <t>Temp_progr</t>
  </si>
  <si>
    <t>M_A</t>
  </si>
  <si>
    <t>No_Pas</t>
  </si>
  <si>
    <t>mn</t>
  </si>
  <si>
    <t>secondes</t>
  </si>
  <si>
    <t>no h</t>
  </si>
  <si>
    <t>no jours</t>
  </si>
  <si>
    <t>TEMP_CEL</t>
  </si>
  <si>
    <t>REGUL_ECORIUM</t>
  </si>
  <si>
    <t>T_ECOR_FOND</t>
  </si>
  <si>
    <t>T_ECOR_INF</t>
  </si>
  <si>
    <t>T_ECOR_SUP</t>
  </si>
  <si>
    <t>REGUL_HYG</t>
  </si>
  <si>
    <t>HYG_CEL</t>
  </si>
  <si>
    <t>REGUL_C</t>
  </si>
  <si>
    <t>C</t>
  </si>
  <si>
    <t>HAUT_ECOLUX</t>
  </si>
  <si>
    <t>INT_ECOLUX</t>
  </si>
  <si>
    <t>INT_PLUIE</t>
  </si>
  <si>
    <t>VITESSE_VENT</t>
  </si>
  <si>
    <t>VENT_LATERAL_UN</t>
  </si>
  <si>
    <t>VENT_LATERAL_DEUX</t>
  </si>
  <si>
    <t>VENT_LATERAL_TROIS</t>
  </si>
  <si>
    <t>VENT_LATERAL_QUATRE</t>
  </si>
  <si>
    <t>INT_VENT_LAT</t>
  </si>
  <si>
    <t>EVENT Chromato</t>
  </si>
  <si>
    <t>Vide_1</t>
  </si>
  <si>
    <t>ACTION_1</t>
  </si>
  <si>
    <t>ACTION_2</t>
  </si>
  <si>
    <t>ACTION_3</t>
  </si>
  <si>
    <t>ACTION_4</t>
  </si>
  <si>
    <t>ACTION_5</t>
  </si>
  <si>
    <t>ACTION_6</t>
  </si>
  <si>
    <t>ACTION_7</t>
  </si>
  <si>
    <t>ACTION_8</t>
  </si>
  <si>
    <t>ACTION_9</t>
  </si>
  <si>
    <t>ACTION_10</t>
  </si>
  <si>
    <t>ACTION_11</t>
  </si>
  <si>
    <t>ACTION_12</t>
  </si>
  <si>
    <t>ACTION_13</t>
  </si>
  <si>
    <t>ACTION_14</t>
  </si>
  <si>
    <t>ACTION_15</t>
  </si>
  <si>
    <t>VIDANGE_CANIVEAU</t>
  </si>
  <si>
    <t>Vide_2</t>
  </si>
  <si>
    <t>MAX T</t>
  </si>
  <si>
    <t>MIN T</t>
  </si>
  <si>
    <t>MAX HR</t>
  </si>
  <si>
    <t>MIN HR</t>
  </si>
  <si>
    <t>tests valeurs Temp</t>
  </si>
  <si>
    <t>tests valeurs Hum</t>
  </si>
  <si>
    <t>MARCHE</t>
  </si>
  <si>
    <t>HYG_Corrigée pour Temp &lt; 0</t>
  </si>
  <si>
    <t>Min Temp</t>
  </si>
  <si>
    <t>Max Temp</t>
  </si>
  <si>
    <t>Temp Mode Mesure</t>
  </si>
  <si>
    <t>Anticipation (min)</t>
  </si>
  <si>
    <t>Fortes Chaleurs</t>
  </si>
  <si>
    <t>Configuration Régulation ECORIUM</t>
  </si>
  <si>
    <t>Minimum</t>
  </si>
  <si>
    <t>Fond</t>
  </si>
  <si>
    <t>Ceinture Basse</t>
  </si>
  <si>
    <t>Ceinture Haute</t>
  </si>
  <si>
    <t>Temp Pluie</t>
  </si>
  <si>
    <t>Configuration Thermofrigopompe</t>
  </si>
  <si>
    <t>Ballon Froid</t>
  </si>
  <si>
    <t>Ballon Chaud</t>
  </si>
  <si>
    <t>Delta Températures (°C)</t>
  </si>
  <si>
    <t>Températures Extrèmes Normales</t>
  </si>
  <si>
    <t>Maximum</t>
  </si>
  <si>
    <t>Températures Extrèmes Fortes</t>
  </si>
  <si>
    <t>Offsets Automate</t>
  </si>
  <si>
    <t>Températures</t>
  </si>
  <si>
    <t>T° Ballon Chaud</t>
  </si>
  <si>
    <t>T° Ballon Froid</t>
  </si>
  <si>
    <t>T° Cellule</t>
  </si>
  <si>
    <t>T° ECORIUM Fond</t>
  </si>
  <si>
    <t>T° ECORIUM Bas</t>
  </si>
  <si>
    <t>T° ECORIUM Haut</t>
  </si>
  <si>
    <t>T° Pluie</t>
  </si>
  <si>
    <t>Hygromètrie</t>
  </si>
  <si>
    <t>CO2</t>
  </si>
  <si>
    <t>Pas Arrêt</t>
  </si>
  <si>
    <t>Erreur T°</t>
  </si>
  <si>
    <t>Erreur H%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</si>
</sst>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G49"/>
  <sheetViews>
    <sheetView tabSelected="1" workbookViewId="0"/>
  </sheetViews>
  <sheetFormatPr defaultRowHeight="15"/>
  <sheetData>
    <row r="1" spans="1:59">
      <c r="A1" t="s">
        <v>0</v>
      </c>
      <c r="B1" t="s">
        <v>1</v>
      </c>
      <c r="C1" t="s">
        <v>2</v>
      </c>
      <c r="D1" t="s">
        <v>3</v>
      </c>
      <c r="E1">
        <f>Programmation!F1</f>
        <v>0</v>
      </c>
      <c r="F1">
        <f>Programmation!G1</f>
        <v>0</v>
      </c>
      <c r="G1">
        <f>Programmation!H1</f>
        <v>0</v>
      </c>
      <c r="H1">
        <f>Programmation!I1</f>
        <v>0</v>
      </c>
      <c r="I1">
        <f>Programmation!J1</f>
        <v>0</v>
      </c>
      <c r="J1">
        <f>Programmation!K1</f>
        <v>0</v>
      </c>
      <c r="K1">
        <f>Programmation!L1</f>
        <v>0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39</v>
      </c>
      <c r="AV1" t="s">
        <v>40</v>
      </c>
      <c r="AW1" t="s">
        <v>41</v>
      </c>
      <c r="AX1" t="s">
        <v>42</v>
      </c>
      <c r="AY1" t="s">
        <v>43</v>
      </c>
      <c r="AZ1" t="s">
        <v>44</v>
      </c>
      <c r="BA1" t="s">
        <v>45</v>
      </c>
      <c r="BB1" t="s">
        <v>46</v>
      </c>
      <c r="BC1" t="s">
        <v>47</v>
      </c>
      <c r="BD1" t="s">
        <v>48</v>
      </c>
      <c r="BE1" t="s">
        <v>49</v>
      </c>
      <c r="BF1" t="s">
        <v>50</v>
      </c>
      <c r="BG1" t="s">
        <v>51</v>
      </c>
    </row>
    <row r="2" spans="1:59">
      <c r="A2">
        <f>Programmation!A2</f>
        <v>0</v>
      </c>
      <c r="B2">
        <f>Programmation!D2</f>
        <v>0</v>
      </c>
      <c r="C2">
        <f>Programmation!B2</f>
        <v>0</v>
      </c>
      <c r="D2">
        <f>Programmation!C2</f>
        <v>0</v>
      </c>
      <c r="E2">
        <f>Programmation!F2*10</f>
        <v>0</v>
      </c>
      <c r="F2">
        <f>Programmation!G2</f>
        <v>0</v>
      </c>
      <c r="G2">
        <f>IF(Programmation!H2&lt;Config!$B$9,Config!$B$9,Programmation!H2)</f>
        <v>0</v>
      </c>
      <c r="H2">
        <f>IF(Programmation!I2&lt;Config!$B$10,Config!$B$10,Programmation!I2)</f>
        <v>0</v>
      </c>
      <c r="I2">
        <f>IF(Programmation!J2&lt;Config!$B$11,Config!$B$11,Programmation!J2)</f>
        <v>0</v>
      </c>
      <c r="J2">
        <f>Programmation!K2</f>
        <v>0</v>
      </c>
      <c r="K2">
        <f>IF(Programmation!L2&gt;95,95,Programmation!L2)</f>
        <v>0</v>
      </c>
      <c r="L2">
        <f>Programmation!M2</f>
        <v>0</v>
      </c>
      <c r="M2">
        <f>Programmation!N2</f>
        <v>0</v>
      </c>
      <c r="N2">
        <f>Programmation!O2</f>
        <v>0</v>
      </c>
      <c r="O2">
        <f>Programmation!P2</f>
        <v>0</v>
      </c>
      <c r="P2">
        <f>Programmation!Q2</f>
        <v>0</v>
      </c>
      <c r="Q2">
        <f>Programmation!R2</f>
        <v>0</v>
      </c>
      <c r="R2">
        <f>Programmation!S2</f>
        <v>0</v>
      </c>
      <c r="S2">
        <f>Programmation!T2</f>
        <v>0</v>
      </c>
      <c r="T2">
        <f>Programmation!U2</f>
        <v>0</v>
      </c>
      <c r="U2">
        <f>Programmation!V2</f>
        <v>0</v>
      </c>
      <c r="V2">
        <f>Programmation!W2</f>
        <v>0</v>
      </c>
      <c r="W2">
        <f>Programmation!X2</f>
        <v>0</v>
      </c>
      <c r="X2">
        <f>Programmation!Y2</f>
        <v>0</v>
      </c>
      <c r="Y2">
        <f>Programmation!Z2</f>
        <v>0</v>
      </c>
      <c r="Z2">
        <f>Programmation!AA2</f>
        <v>0</v>
      </c>
      <c r="AA2">
        <f>Programmation!AB2+Programmation!AC2*2+Programmation!AD2*4+Programmation!AE2*8</f>
        <v>0</v>
      </c>
      <c r="AB2">
        <f>Programmation!AG2</f>
        <v>0</v>
      </c>
      <c r="AC2">
        <f>Programmation!AJ2</f>
        <v>0</v>
      </c>
      <c r="AD2">
        <f>Programmation!AK2</f>
        <v>0</v>
      </c>
      <c r="AE2">
        <f>Programmation!AL2</f>
        <v>0</v>
      </c>
      <c r="AF2">
        <f>Programmation!AM2</f>
        <v>0</v>
      </c>
      <c r="AG2">
        <f>Programmation!AN2</f>
        <v>0</v>
      </c>
      <c r="AH2">
        <f>Programmation!AO2</f>
        <v>0</v>
      </c>
      <c r="AI2">
        <f>Programmation!AP2</f>
        <v>0</v>
      </c>
      <c r="AJ2">
        <f>Programmation!AQ2</f>
        <v>0</v>
      </c>
      <c r="AK2">
        <f>Programmation!AR2</f>
        <v>0</v>
      </c>
      <c r="AL2">
        <f>Programmation!AS2</f>
        <v>0</v>
      </c>
      <c r="AM2">
        <f>Programmation!AT2</f>
        <v>0</v>
      </c>
      <c r="AN2">
        <f>Programmation!AU2</f>
        <v>0</v>
      </c>
      <c r="AO2">
        <f>Programmation!AV2</f>
        <v>0</v>
      </c>
      <c r="AP2">
        <f>Programmation!AW2</f>
        <v>0</v>
      </c>
      <c r="AQ2">
        <f>Programmation!AX2</f>
        <v>0</v>
      </c>
      <c r="AR2">
        <f>Programmation!AY2</f>
        <v>0</v>
      </c>
      <c r="AS2">
        <f>Programmation!AZ2*10</f>
        <v>0</v>
      </c>
      <c r="AT2">
        <f>Programmation!BA2</f>
        <v>0</v>
      </c>
      <c r="AU2">
        <f>Programmation!BB2</f>
        <v>0</v>
      </c>
      <c r="AV2">
        <f>Programmation!BC2</f>
        <v>0</v>
      </c>
      <c r="AW2">
        <f>Programmation!BD2</f>
        <v>0</v>
      </c>
      <c r="AX2">
        <v>10</v>
      </c>
      <c r="AY2">
        <f>611.213+43.53*POWER(Programmation!BP2,1)+1.598*POWER(Programmation!BP2,2)+0.0159*POWER(Programmation!BP2,3)+0.000567*POWER(Programmation!BP2,4)</f>
        <v>0</v>
      </c>
      <c r="AZ2">
        <f>IF(K2=0,0,-241*(LOG10(AY2*K2/100)-2.7887)/((LOG10(AY2*K2/100)-2.7887-7.625)))</f>
        <v>0</v>
      </c>
      <c r="BA2">
        <f>0.622*AY3*K3/(10132500-AY3*K3)*1000</f>
        <v>0</v>
      </c>
      <c r="BB2">
        <v>450</v>
      </c>
      <c r="BC2">
        <v>0</v>
      </c>
      <c r="BD2">
        <v>45</v>
      </c>
      <c r="BE2">
        <v>0</v>
      </c>
      <c r="BF2">
        <f>E33/10</f>
        <v>0</v>
      </c>
      <c r="BG2">
        <f>Programmation!BL2</f>
        <v>0</v>
      </c>
    </row>
    <row r="3" spans="1:59">
      <c r="A3">
        <f>Programmation!A3</f>
        <v>0</v>
      </c>
      <c r="B3">
        <f>Programmation!D3</f>
        <v>0</v>
      </c>
      <c r="C3">
        <f>Programmation!B3</f>
        <v>0</v>
      </c>
      <c r="D3">
        <f>Programmation!C3</f>
        <v>0</v>
      </c>
      <c r="E3">
        <f>Programmation!F3*10</f>
        <v>0</v>
      </c>
      <c r="F3">
        <f>Programmation!G3</f>
        <v>0</v>
      </c>
      <c r="G3">
        <f>IF(Programmation!H3&lt;Config!$B$9,Config!$B$9,Programmation!H3)</f>
        <v>0</v>
      </c>
      <c r="H3">
        <f>IF(Programmation!I3&lt;Config!$B$10,Config!$B$10,Programmation!I3)</f>
        <v>0</v>
      </c>
      <c r="I3">
        <f>IF(Programmation!J3&lt;Config!$B$11,Config!$B$11,Programmation!J3)</f>
        <v>0</v>
      </c>
      <c r="J3">
        <f>Programmation!K3</f>
        <v>0</v>
      </c>
      <c r="K3">
        <f>IF(Programmation!L3&gt;95,95,Programmation!L3)</f>
        <v>0</v>
      </c>
      <c r="L3">
        <f>Programmation!M3</f>
        <v>0</v>
      </c>
      <c r="M3">
        <f>Programmation!N3</f>
        <v>0</v>
      </c>
      <c r="N3">
        <f>Programmation!O3</f>
        <v>0</v>
      </c>
      <c r="O3">
        <f>Programmation!P3</f>
        <v>0</v>
      </c>
      <c r="P3">
        <f>Programmation!Q3</f>
        <v>0</v>
      </c>
      <c r="Q3">
        <f>Programmation!R3</f>
        <v>0</v>
      </c>
      <c r="R3">
        <f>Programmation!S3</f>
        <v>0</v>
      </c>
      <c r="S3">
        <f>Programmation!T3</f>
        <v>0</v>
      </c>
      <c r="T3">
        <f>Programmation!U3</f>
        <v>0</v>
      </c>
      <c r="U3">
        <f>Programmation!V3</f>
        <v>0</v>
      </c>
      <c r="V3">
        <f>Programmation!W3</f>
        <v>0</v>
      </c>
      <c r="W3">
        <f>Programmation!X3</f>
        <v>0</v>
      </c>
      <c r="X3">
        <f>Programmation!Y3</f>
        <v>0</v>
      </c>
      <c r="Y3">
        <f>Programmation!Z3</f>
        <v>0</v>
      </c>
      <c r="Z3">
        <f>Programmation!AA3</f>
        <v>0</v>
      </c>
      <c r="AA3">
        <f>Programmation!AB3+Programmation!AC3*2+Programmation!AD3*4+Programmation!AE3*8</f>
        <v>0</v>
      </c>
      <c r="AB3">
        <f>Programmation!AG3</f>
        <v>0</v>
      </c>
      <c r="AC3">
        <f>Programmation!AJ3</f>
        <v>0</v>
      </c>
      <c r="AD3">
        <f>Programmation!AK3</f>
        <v>0</v>
      </c>
      <c r="AE3">
        <f>Programmation!AL3</f>
        <v>0</v>
      </c>
      <c r="AF3">
        <f>Programmation!AM3</f>
        <v>0</v>
      </c>
      <c r="AG3">
        <f>Programmation!AN3</f>
        <v>0</v>
      </c>
      <c r="AH3">
        <f>Programmation!AO3</f>
        <v>0</v>
      </c>
      <c r="AI3">
        <f>Programmation!AP3</f>
        <v>0</v>
      </c>
      <c r="AJ3">
        <f>Programmation!AQ3</f>
        <v>0</v>
      </c>
      <c r="AK3">
        <f>Programmation!AR3</f>
        <v>0</v>
      </c>
      <c r="AL3">
        <f>Programmation!AS3</f>
        <v>0</v>
      </c>
      <c r="AM3">
        <f>Programmation!AT3</f>
        <v>0</v>
      </c>
      <c r="AN3">
        <f>Programmation!AU3</f>
        <v>0</v>
      </c>
      <c r="AO3">
        <f>Programmation!AV3</f>
        <v>0</v>
      </c>
      <c r="AP3">
        <f>Programmation!AW3</f>
        <v>0</v>
      </c>
      <c r="AQ3">
        <f>Programmation!AX3</f>
        <v>0</v>
      </c>
      <c r="AR3">
        <f>Programmation!AY3</f>
        <v>0</v>
      </c>
      <c r="AS3">
        <f>Programmation!AZ3*10</f>
        <v>0</v>
      </c>
      <c r="AT3">
        <f>Programmation!BA3</f>
        <v>0</v>
      </c>
      <c r="AU3">
        <f>Programmation!BB3</f>
        <v>0</v>
      </c>
      <c r="AV3">
        <f>Programmation!BC3</f>
        <v>0</v>
      </c>
      <c r="AW3">
        <f>Programmation!BD3</f>
        <v>0</v>
      </c>
      <c r="AX3">
        <v>10</v>
      </c>
      <c r="AY3">
        <f>611.213+43.53*POWER(Programmation!BP3,1)+1.598*POWER(Programmation!BP3,2)+0.0159*POWER(Programmation!BP3,3)+0.000567*POWER(Programmation!BP3,4)</f>
        <v>0</v>
      </c>
      <c r="AZ3">
        <f>IF(K3=0,0,-241*(LOG10(AY3*K3/100)-2.7887)/((LOG10(AY3*K3/100)-2.7887-7.625)))</f>
        <v>0</v>
      </c>
      <c r="BA3">
        <f>0.622*AY4*K4/(10132500-AY4*K4)*1000</f>
        <v>0</v>
      </c>
      <c r="BB3">
        <v>450</v>
      </c>
      <c r="BC3">
        <v>0</v>
      </c>
      <c r="BD3">
        <v>45</v>
      </c>
      <c r="BE3">
        <v>0</v>
      </c>
      <c r="BF3">
        <f>E34/10</f>
        <v>0</v>
      </c>
      <c r="BG3">
        <f>Programmation!BL3</f>
        <v>0</v>
      </c>
    </row>
    <row r="4" spans="1:59">
      <c r="A4">
        <f>Programmation!A4</f>
        <v>0</v>
      </c>
      <c r="B4">
        <f>Programmation!D4</f>
        <v>0</v>
      </c>
      <c r="C4">
        <f>Programmation!B4</f>
        <v>0</v>
      </c>
      <c r="D4">
        <f>Programmation!C4</f>
        <v>0</v>
      </c>
      <c r="E4">
        <f>Programmation!F4*10</f>
        <v>0</v>
      </c>
      <c r="F4">
        <f>Programmation!G4</f>
        <v>0</v>
      </c>
      <c r="G4">
        <f>IF(Programmation!H4&lt;Config!$B$9,Config!$B$9,Programmation!H4)</f>
        <v>0</v>
      </c>
      <c r="H4">
        <f>IF(Programmation!I4&lt;Config!$B$10,Config!$B$10,Programmation!I4)</f>
        <v>0</v>
      </c>
      <c r="I4">
        <f>IF(Programmation!J4&lt;Config!$B$11,Config!$B$11,Programmation!J4)</f>
        <v>0</v>
      </c>
      <c r="J4">
        <f>Programmation!K4</f>
        <v>0</v>
      </c>
      <c r="K4">
        <f>IF(Programmation!L4&gt;95,95,Programmation!L4)</f>
        <v>0</v>
      </c>
      <c r="L4">
        <f>Programmation!M4</f>
        <v>0</v>
      </c>
      <c r="M4">
        <f>Programmation!N4</f>
        <v>0</v>
      </c>
      <c r="N4">
        <f>Programmation!O4</f>
        <v>0</v>
      </c>
      <c r="O4">
        <f>Programmation!P4</f>
        <v>0</v>
      </c>
      <c r="P4">
        <f>Programmation!Q4</f>
        <v>0</v>
      </c>
      <c r="Q4">
        <f>Programmation!R4</f>
        <v>0</v>
      </c>
      <c r="R4">
        <f>Programmation!S4</f>
        <v>0</v>
      </c>
      <c r="S4">
        <f>Programmation!T4</f>
        <v>0</v>
      </c>
      <c r="T4">
        <f>Programmation!U4</f>
        <v>0</v>
      </c>
      <c r="U4">
        <f>Programmation!V4</f>
        <v>0</v>
      </c>
      <c r="V4">
        <f>Programmation!W4</f>
        <v>0</v>
      </c>
      <c r="W4">
        <f>Programmation!X4</f>
        <v>0</v>
      </c>
      <c r="X4">
        <f>Programmation!Y4</f>
        <v>0</v>
      </c>
      <c r="Y4">
        <f>Programmation!Z4</f>
        <v>0</v>
      </c>
      <c r="Z4">
        <f>Programmation!AA4</f>
        <v>0</v>
      </c>
      <c r="AA4">
        <f>Programmation!AB4+Programmation!AC4*2+Programmation!AD4*4+Programmation!AE4*8</f>
        <v>0</v>
      </c>
      <c r="AB4">
        <f>Programmation!AG4</f>
        <v>0</v>
      </c>
      <c r="AC4">
        <f>Programmation!AJ4</f>
        <v>0</v>
      </c>
      <c r="AD4">
        <f>Programmation!AK4</f>
        <v>0</v>
      </c>
      <c r="AE4">
        <f>Programmation!AL4</f>
        <v>0</v>
      </c>
      <c r="AF4">
        <f>Programmation!AM4</f>
        <v>0</v>
      </c>
      <c r="AG4">
        <f>Programmation!AN4</f>
        <v>0</v>
      </c>
      <c r="AH4">
        <f>Programmation!AO4</f>
        <v>0</v>
      </c>
      <c r="AI4">
        <f>Programmation!AP4</f>
        <v>0</v>
      </c>
      <c r="AJ4">
        <f>Programmation!AQ4</f>
        <v>0</v>
      </c>
      <c r="AK4">
        <f>Programmation!AR4</f>
        <v>0</v>
      </c>
      <c r="AL4">
        <f>Programmation!AS4</f>
        <v>0</v>
      </c>
      <c r="AM4">
        <f>Programmation!AT4</f>
        <v>0</v>
      </c>
      <c r="AN4">
        <f>Programmation!AU4</f>
        <v>0</v>
      </c>
      <c r="AO4">
        <f>Programmation!AV4</f>
        <v>0</v>
      </c>
      <c r="AP4">
        <f>Programmation!AW4</f>
        <v>0</v>
      </c>
      <c r="AQ4">
        <f>Programmation!AX4</f>
        <v>0</v>
      </c>
      <c r="AR4">
        <f>Programmation!AY4</f>
        <v>0</v>
      </c>
      <c r="AS4">
        <f>Programmation!AZ4*10</f>
        <v>0</v>
      </c>
      <c r="AT4">
        <f>Programmation!BA4</f>
        <v>0</v>
      </c>
      <c r="AU4">
        <f>Programmation!BB4</f>
        <v>0</v>
      </c>
      <c r="AV4">
        <f>Programmation!BC4</f>
        <v>0</v>
      </c>
      <c r="AW4">
        <f>Programmation!BD4</f>
        <v>0</v>
      </c>
      <c r="AX4">
        <v>10</v>
      </c>
      <c r="AY4">
        <f>611.213+43.53*POWER(Programmation!BP4,1)+1.598*POWER(Programmation!BP4,2)+0.0159*POWER(Programmation!BP4,3)+0.000567*POWER(Programmation!BP4,4)</f>
        <v>0</v>
      </c>
      <c r="AZ4">
        <f>IF(K4=0,0,-241*(LOG10(AY4*K4/100)-2.7887)/((LOG10(AY4*K4/100)-2.7887-7.625)))</f>
        <v>0</v>
      </c>
      <c r="BA4">
        <f>0.622*AY5*K5/(10132500-AY5*K5)*1000</f>
        <v>0</v>
      </c>
      <c r="BB4">
        <v>450</v>
      </c>
      <c r="BC4">
        <v>0</v>
      </c>
      <c r="BD4">
        <v>45</v>
      </c>
      <c r="BE4">
        <v>0</v>
      </c>
      <c r="BF4">
        <f>E35/10</f>
        <v>0</v>
      </c>
      <c r="BG4">
        <f>Programmation!BL4</f>
        <v>0</v>
      </c>
    </row>
    <row r="5" spans="1:59">
      <c r="A5">
        <f>Programmation!A5</f>
        <v>0</v>
      </c>
      <c r="B5">
        <f>Programmation!D5</f>
        <v>0</v>
      </c>
      <c r="C5">
        <f>Programmation!B5</f>
        <v>0</v>
      </c>
      <c r="D5">
        <f>Programmation!C5</f>
        <v>0</v>
      </c>
      <c r="E5">
        <f>Programmation!F5*10</f>
        <v>0</v>
      </c>
      <c r="F5">
        <f>Programmation!G5</f>
        <v>0</v>
      </c>
      <c r="G5">
        <f>IF(Programmation!H5&lt;Config!$B$9,Config!$B$9,Programmation!H5)</f>
        <v>0</v>
      </c>
      <c r="H5">
        <f>IF(Programmation!I5&lt;Config!$B$10,Config!$B$10,Programmation!I5)</f>
        <v>0</v>
      </c>
      <c r="I5">
        <f>IF(Programmation!J5&lt;Config!$B$11,Config!$B$11,Programmation!J5)</f>
        <v>0</v>
      </c>
      <c r="J5">
        <f>Programmation!K5</f>
        <v>0</v>
      </c>
      <c r="K5">
        <f>IF(Programmation!L5&gt;95,95,Programmation!L5)</f>
        <v>0</v>
      </c>
      <c r="L5">
        <f>Programmation!M5</f>
        <v>0</v>
      </c>
      <c r="M5">
        <f>Programmation!N5</f>
        <v>0</v>
      </c>
      <c r="N5">
        <f>Programmation!O5</f>
        <v>0</v>
      </c>
      <c r="O5">
        <f>Programmation!P5</f>
        <v>0</v>
      </c>
      <c r="P5">
        <f>Programmation!Q5</f>
        <v>0</v>
      </c>
      <c r="Q5">
        <f>Programmation!R5</f>
        <v>0</v>
      </c>
      <c r="R5">
        <f>Programmation!S5</f>
        <v>0</v>
      </c>
      <c r="S5">
        <f>Programmation!T5</f>
        <v>0</v>
      </c>
      <c r="T5">
        <f>Programmation!U5</f>
        <v>0</v>
      </c>
      <c r="U5">
        <f>Programmation!V5</f>
        <v>0</v>
      </c>
      <c r="V5">
        <f>Programmation!W5</f>
        <v>0</v>
      </c>
      <c r="W5">
        <f>Programmation!X5</f>
        <v>0</v>
      </c>
      <c r="X5">
        <f>Programmation!Y5</f>
        <v>0</v>
      </c>
      <c r="Y5">
        <f>Programmation!Z5</f>
        <v>0</v>
      </c>
      <c r="Z5">
        <f>Programmation!AA5</f>
        <v>0</v>
      </c>
      <c r="AA5">
        <f>Programmation!AB5+Programmation!AC5*2+Programmation!AD5*4+Programmation!AE5*8</f>
        <v>0</v>
      </c>
      <c r="AB5">
        <f>Programmation!AG5</f>
        <v>0</v>
      </c>
      <c r="AC5">
        <f>Programmation!AJ5</f>
        <v>0</v>
      </c>
      <c r="AD5">
        <f>Programmation!AK5</f>
        <v>0</v>
      </c>
      <c r="AE5">
        <f>Programmation!AL5</f>
        <v>0</v>
      </c>
      <c r="AF5">
        <f>Programmation!AM5</f>
        <v>0</v>
      </c>
      <c r="AG5">
        <f>Programmation!AN5</f>
        <v>0</v>
      </c>
      <c r="AH5">
        <f>Programmation!AO5</f>
        <v>0</v>
      </c>
      <c r="AI5">
        <f>Programmation!AP5</f>
        <v>0</v>
      </c>
      <c r="AJ5">
        <f>Programmation!AQ5</f>
        <v>0</v>
      </c>
      <c r="AK5">
        <f>Programmation!AR5</f>
        <v>0</v>
      </c>
      <c r="AL5">
        <f>Programmation!AS5</f>
        <v>0</v>
      </c>
      <c r="AM5">
        <f>Programmation!AT5</f>
        <v>0</v>
      </c>
      <c r="AN5">
        <f>Programmation!AU5</f>
        <v>0</v>
      </c>
      <c r="AO5">
        <f>Programmation!AV5</f>
        <v>0</v>
      </c>
      <c r="AP5">
        <f>Programmation!AW5</f>
        <v>0</v>
      </c>
      <c r="AQ5">
        <f>Programmation!AX5</f>
        <v>0</v>
      </c>
      <c r="AR5">
        <f>Programmation!AY5</f>
        <v>0</v>
      </c>
      <c r="AS5">
        <f>Programmation!AZ5*10</f>
        <v>0</v>
      </c>
      <c r="AT5">
        <f>Programmation!BA5</f>
        <v>0</v>
      </c>
      <c r="AU5">
        <f>Programmation!BB5</f>
        <v>0</v>
      </c>
      <c r="AV5">
        <f>Programmation!BC5</f>
        <v>0</v>
      </c>
      <c r="AW5">
        <f>Programmation!BD5</f>
        <v>0</v>
      </c>
      <c r="AX5">
        <v>10</v>
      </c>
      <c r="AY5">
        <f>611.213+43.53*POWER(Programmation!BP5,1)+1.598*POWER(Programmation!BP5,2)+0.0159*POWER(Programmation!BP5,3)+0.000567*POWER(Programmation!BP5,4)</f>
        <v>0</v>
      </c>
      <c r="AZ5">
        <f>IF(K5=0,0,-241*(LOG10(AY5*K5/100)-2.7887)/((LOG10(AY5*K5/100)-2.7887-7.625)))</f>
        <v>0</v>
      </c>
      <c r="BA5">
        <f>0.622*AY6*K6/(10132500-AY6*K6)*1000</f>
        <v>0</v>
      </c>
      <c r="BB5">
        <v>450</v>
      </c>
      <c r="BC5">
        <v>0</v>
      </c>
      <c r="BD5">
        <v>45</v>
      </c>
      <c r="BE5">
        <v>0</v>
      </c>
      <c r="BF5">
        <f>E36/10</f>
        <v>0</v>
      </c>
      <c r="BG5">
        <f>Programmation!BL5</f>
        <v>0</v>
      </c>
    </row>
    <row r="6" spans="1:59">
      <c r="A6">
        <f>Programmation!A6</f>
        <v>0</v>
      </c>
      <c r="B6">
        <f>Programmation!D6</f>
        <v>0</v>
      </c>
      <c r="C6">
        <f>Programmation!B6</f>
        <v>0</v>
      </c>
      <c r="D6">
        <f>Programmation!C6</f>
        <v>0</v>
      </c>
      <c r="E6">
        <f>Programmation!F6*10</f>
        <v>0</v>
      </c>
      <c r="F6">
        <f>Programmation!G6</f>
        <v>0</v>
      </c>
      <c r="G6">
        <f>IF(Programmation!H6&lt;Config!$B$9,Config!$B$9,Programmation!H6)</f>
        <v>0</v>
      </c>
      <c r="H6">
        <f>IF(Programmation!I6&lt;Config!$B$10,Config!$B$10,Programmation!I6)</f>
        <v>0</v>
      </c>
      <c r="I6">
        <f>IF(Programmation!J6&lt;Config!$B$11,Config!$B$11,Programmation!J6)</f>
        <v>0</v>
      </c>
      <c r="J6">
        <f>Programmation!K6</f>
        <v>0</v>
      </c>
      <c r="K6">
        <f>IF(Programmation!L6&gt;95,95,Programmation!L6)</f>
        <v>0</v>
      </c>
      <c r="L6">
        <f>Programmation!M6</f>
        <v>0</v>
      </c>
      <c r="M6">
        <f>Programmation!N6</f>
        <v>0</v>
      </c>
      <c r="N6">
        <f>Programmation!O6</f>
        <v>0</v>
      </c>
      <c r="O6">
        <f>Programmation!P6</f>
        <v>0</v>
      </c>
      <c r="P6">
        <f>Programmation!Q6</f>
        <v>0</v>
      </c>
      <c r="Q6">
        <f>Programmation!R6</f>
        <v>0</v>
      </c>
      <c r="R6">
        <f>Programmation!S6</f>
        <v>0</v>
      </c>
      <c r="S6">
        <f>Programmation!T6</f>
        <v>0</v>
      </c>
      <c r="T6">
        <f>Programmation!U6</f>
        <v>0</v>
      </c>
      <c r="U6">
        <f>Programmation!V6</f>
        <v>0</v>
      </c>
      <c r="V6">
        <f>Programmation!W6</f>
        <v>0</v>
      </c>
      <c r="W6">
        <f>Programmation!X6</f>
        <v>0</v>
      </c>
      <c r="X6">
        <f>Programmation!Y6</f>
        <v>0</v>
      </c>
      <c r="Y6">
        <f>Programmation!Z6</f>
        <v>0</v>
      </c>
      <c r="Z6">
        <f>Programmation!AA6</f>
        <v>0</v>
      </c>
      <c r="AA6">
        <f>Programmation!AB6+Programmation!AC6*2+Programmation!AD6*4+Programmation!AE6*8</f>
        <v>0</v>
      </c>
      <c r="AB6">
        <f>Programmation!AG6</f>
        <v>0</v>
      </c>
      <c r="AC6">
        <f>Programmation!AJ6</f>
        <v>0</v>
      </c>
      <c r="AD6">
        <f>Programmation!AK6</f>
        <v>0</v>
      </c>
      <c r="AE6">
        <f>Programmation!AL6</f>
        <v>0</v>
      </c>
      <c r="AF6">
        <f>Programmation!AM6</f>
        <v>0</v>
      </c>
      <c r="AG6">
        <f>Programmation!AN6</f>
        <v>0</v>
      </c>
      <c r="AH6">
        <f>Programmation!AO6</f>
        <v>0</v>
      </c>
      <c r="AI6">
        <f>Programmation!AP6</f>
        <v>0</v>
      </c>
      <c r="AJ6">
        <f>Programmation!AQ6</f>
        <v>0</v>
      </c>
      <c r="AK6">
        <f>Programmation!AR6</f>
        <v>0</v>
      </c>
      <c r="AL6">
        <f>Programmation!AS6</f>
        <v>0</v>
      </c>
      <c r="AM6">
        <f>Programmation!AT6</f>
        <v>0</v>
      </c>
      <c r="AN6">
        <f>Programmation!AU6</f>
        <v>0</v>
      </c>
      <c r="AO6">
        <f>Programmation!AV6</f>
        <v>0</v>
      </c>
      <c r="AP6">
        <f>Programmation!AW6</f>
        <v>0</v>
      </c>
      <c r="AQ6">
        <f>Programmation!AX6</f>
        <v>0</v>
      </c>
      <c r="AR6">
        <f>Programmation!AY6</f>
        <v>0</v>
      </c>
      <c r="AS6">
        <f>Programmation!AZ6*10</f>
        <v>0</v>
      </c>
      <c r="AT6">
        <f>Programmation!BA6</f>
        <v>0</v>
      </c>
      <c r="AU6">
        <f>Programmation!BB6</f>
        <v>0</v>
      </c>
      <c r="AV6">
        <f>Programmation!BC6</f>
        <v>0</v>
      </c>
      <c r="AW6">
        <f>Programmation!BD6</f>
        <v>0</v>
      </c>
      <c r="AX6">
        <v>10</v>
      </c>
      <c r="AY6">
        <f>611.213+43.53*POWER(Programmation!BP6,1)+1.598*POWER(Programmation!BP6,2)+0.0159*POWER(Programmation!BP6,3)+0.000567*POWER(Programmation!BP6,4)</f>
        <v>0</v>
      </c>
      <c r="AZ6">
        <f>IF(K6=0,0,-241*(LOG10(AY6*K6/100)-2.7887)/((LOG10(AY6*K6/100)-2.7887-7.625)))</f>
        <v>0</v>
      </c>
      <c r="BA6">
        <f>0.622*AY7*K7/(10132500-AY7*K7)*1000</f>
        <v>0</v>
      </c>
      <c r="BB6">
        <v>450</v>
      </c>
      <c r="BC6">
        <v>0</v>
      </c>
      <c r="BD6">
        <v>45</v>
      </c>
      <c r="BE6">
        <v>0</v>
      </c>
      <c r="BF6">
        <f>E37/10</f>
        <v>0</v>
      </c>
      <c r="BG6">
        <f>Programmation!BL6</f>
        <v>0</v>
      </c>
    </row>
    <row r="7" spans="1:59">
      <c r="A7">
        <f>Programmation!A7</f>
        <v>0</v>
      </c>
      <c r="B7">
        <f>Programmation!D7</f>
        <v>0</v>
      </c>
      <c r="C7">
        <f>Programmation!B7</f>
        <v>0</v>
      </c>
      <c r="D7">
        <f>Programmation!C7</f>
        <v>0</v>
      </c>
      <c r="E7">
        <f>Programmation!F7*10</f>
        <v>0</v>
      </c>
      <c r="F7">
        <f>Programmation!G7</f>
        <v>0</v>
      </c>
      <c r="G7">
        <f>IF(Programmation!H7&lt;Config!$B$9,Config!$B$9,Programmation!H7)</f>
        <v>0</v>
      </c>
      <c r="H7">
        <f>IF(Programmation!I7&lt;Config!$B$10,Config!$B$10,Programmation!I7)</f>
        <v>0</v>
      </c>
      <c r="I7">
        <f>IF(Programmation!J7&lt;Config!$B$11,Config!$B$11,Programmation!J7)</f>
        <v>0</v>
      </c>
      <c r="J7">
        <f>Programmation!K7</f>
        <v>0</v>
      </c>
      <c r="K7">
        <f>IF(Programmation!L7&gt;95,95,Programmation!L7)</f>
        <v>0</v>
      </c>
      <c r="L7">
        <f>Programmation!M7</f>
        <v>0</v>
      </c>
      <c r="M7">
        <f>Programmation!N7</f>
        <v>0</v>
      </c>
      <c r="N7">
        <f>Programmation!O7</f>
        <v>0</v>
      </c>
      <c r="O7">
        <f>Programmation!P7</f>
        <v>0</v>
      </c>
      <c r="P7">
        <f>Programmation!Q7</f>
        <v>0</v>
      </c>
      <c r="Q7">
        <f>Programmation!R7</f>
        <v>0</v>
      </c>
      <c r="R7">
        <f>Programmation!S7</f>
        <v>0</v>
      </c>
      <c r="S7">
        <f>Programmation!T7</f>
        <v>0</v>
      </c>
      <c r="T7">
        <f>Programmation!U7</f>
        <v>0</v>
      </c>
      <c r="U7">
        <f>Programmation!V7</f>
        <v>0</v>
      </c>
      <c r="V7">
        <f>Programmation!W7</f>
        <v>0</v>
      </c>
      <c r="W7">
        <f>Programmation!X7</f>
        <v>0</v>
      </c>
      <c r="X7">
        <f>Programmation!Y7</f>
        <v>0</v>
      </c>
      <c r="Y7">
        <f>Programmation!Z7</f>
        <v>0</v>
      </c>
      <c r="Z7">
        <f>Programmation!AA7</f>
        <v>0</v>
      </c>
      <c r="AA7">
        <f>Programmation!AB7+Programmation!AC7*2+Programmation!AD7*4+Programmation!AE7*8</f>
        <v>0</v>
      </c>
      <c r="AB7">
        <f>Programmation!AG7</f>
        <v>0</v>
      </c>
      <c r="AC7">
        <f>Programmation!AJ7</f>
        <v>0</v>
      </c>
      <c r="AD7">
        <f>Programmation!AK7</f>
        <v>0</v>
      </c>
      <c r="AE7">
        <f>Programmation!AL7</f>
        <v>0</v>
      </c>
      <c r="AF7">
        <f>Programmation!AM7</f>
        <v>0</v>
      </c>
      <c r="AG7">
        <f>Programmation!AN7</f>
        <v>0</v>
      </c>
      <c r="AH7">
        <f>Programmation!AO7</f>
        <v>0</v>
      </c>
      <c r="AI7">
        <f>Programmation!AP7</f>
        <v>0</v>
      </c>
      <c r="AJ7">
        <f>Programmation!AQ7</f>
        <v>0</v>
      </c>
      <c r="AK7">
        <f>Programmation!AR7</f>
        <v>0</v>
      </c>
      <c r="AL7">
        <f>Programmation!AS7</f>
        <v>0</v>
      </c>
      <c r="AM7">
        <f>Programmation!AT7</f>
        <v>0</v>
      </c>
      <c r="AN7">
        <f>Programmation!AU7</f>
        <v>0</v>
      </c>
      <c r="AO7">
        <f>Programmation!AV7</f>
        <v>0</v>
      </c>
      <c r="AP7">
        <f>Programmation!AW7</f>
        <v>0</v>
      </c>
      <c r="AQ7">
        <f>Programmation!AX7</f>
        <v>0</v>
      </c>
      <c r="AR7">
        <f>Programmation!AY7</f>
        <v>0</v>
      </c>
      <c r="AS7">
        <f>Programmation!AZ7*10</f>
        <v>0</v>
      </c>
      <c r="AT7">
        <f>Programmation!BA7</f>
        <v>0</v>
      </c>
      <c r="AU7">
        <f>Programmation!BB7</f>
        <v>0</v>
      </c>
      <c r="AV7">
        <f>Programmation!BC7</f>
        <v>0</v>
      </c>
      <c r="AW7">
        <f>Programmation!BD7</f>
        <v>0</v>
      </c>
      <c r="AX7">
        <v>10</v>
      </c>
      <c r="AY7">
        <f>611.213+43.53*POWER(Programmation!BP7,1)+1.598*POWER(Programmation!BP7,2)+0.0159*POWER(Programmation!BP7,3)+0.000567*POWER(Programmation!BP7,4)</f>
        <v>0</v>
      </c>
      <c r="AZ7">
        <f>IF(K7=0,0,-241*(LOG10(AY7*K7/100)-2.7887)/((LOG10(AY7*K7/100)-2.7887-7.625)))</f>
        <v>0</v>
      </c>
      <c r="BA7">
        <f>0.622*AY8*K8/(10132500-AY8*K8)*1000</f>
        <v>0</v>
      </c>
      <c r="BB7">
        <v>450</v>
      </c>
      <c r="BC7">
        <v>0</v>
      </c>
      <c r="BD7">
        <v>45</v>
      </c>
      <c r="BE7">
        <v>0</v>
      </c>
      <c r="BF7">
        <f>E38/10</f>
        <v>0</v>
      </c>
      <c r="BG7">
        <f>Programmation!BL7</f>
        <v>0</v>
      </c>
    </row>
    <row r="8" spans="1:59">
      <c r="A8">
        <f>Programmation!A8</f>
        <v>0</v>
      </c>
      <c r="B8">
        <f>Programmation!D8</f>
        <v>0</v>
      </c>
      <c r="C8">
        <f>Programmation!B8</f>
        <v>0</v>
      </c>
      <c r="D8">
        <f>Programmation!C8</f>
        <v>0</v>
      </c>
      <c r="E8">
        <f>Programmation!F8*10</f>
        <v>0</v>
      </c>
      <c r="F8">
        <f>Programmation!G8</f>
        <v>0</v>
      </c>
      <c r="G8">
        <f>IF(Programmation!H8&lt;Config!$B$9,Config!$B$9,Programmation!H8)</f>
        <v>0</v>
      </c>
      <c r="H8">
        <f>IF(Programmation!I8&lt;Config!$B$10,Config!$B$10,Programmation!I8)</f>
        <v>0</v>
      </c>
      <c r="I8">
        <f>IF(Programmation!J8&lt;Config!$B$11,Config!$B$11,Programmation!J8)</f>
        <v>0</v>
      </c>
      <c r="J8">
        <f>Programmation!K8</f>
        <v>0</v>
      </c>
      <c r="K8">
        <f>IF(Programmation!L8&gt;95,95,Programmation!L8)</f>
        <v>0</v>
      </c>
      <c r="L8">
        <f>Programmation!M8</f>
        <v>0</v>
      </c>
      <c r="M8">
        <f>Programmation!N8</f>
        <v>0</v>
      </c>
      <c r="N8">
        <f>Programmation!O8</f>
        <v>0</v>
      </c>
      <c r="O8">
        <f>Programmation!P8</f>
        <v>0</v>
      </c>
      <c r="P8">
        <f>Programmation!Q8</f>
        <v>0</v>
      </c>
      <c r="Q8">
        <f>Programmation!R8</f>
        <v>0</v>
      </c>
      <c r="R8">
        <f>Programmation!S8</f>
        <v>0</v>
      </c>
      <c r="S8">
        <f>Programmation!T8</f>
        <v>0</v>
      </c>
      <c r="T8">
        <f>Programmation!U8</f>
        <v>0</v>
      </c>
      <c r="U8">
        <f>Programmation!V8</f>
        <v>0</v>
      </c>
      <c r="V8">
        <f>Programmation!W8</f>
        <v>0</v>
      </c>
      <c r="W8">
        <f>Programmation!X8</f>
        <v>0</v>
      </c>
      <c r="X8">
        <f>Programmation!Y8</f>
        <v>0</v>
      </c>
      <c r="Y8">
        <f>Programmation!Z8</f>
        <v>0</v>
      </c>
      <c r="Z8">
        <f>Programmation!AA8</f>
        <v>0</v>
      </c>
      <c r="AA8">
        <f>Programmation!AB8+Programmation!AC8*2+Programmation!AD8*4+Programmation!AE8*8</f>
        <v>0</v>
      </c>
      <c r="AB8">
        <f>Programmation!AG8</f>
        <v>0</v>
      </c>
      <c r="AC8">
        <f>Programmation!AJ8</f>
        <v>0</v>
      </c>
      <c r="AD8">
        <f>Programmation!AK8</f>
        <v>0</v>
      </c>
      <c r="AE8">
        <f>Programmation!AL8</f>
        <v>0</v>
      </c>
      <c r="AF8">
        <f>Programmation!AM8</f>
        <v>0</v>
      </c>
      <c r="AG8">
        <f>Programmation!AN8</f>
        <v>0</v>
      </c>
      <c r="AH8">
        <f>Programmation!AO8</f>
        <v>0</v>
      </c>
      <c r="AI8">
        <f>Programmation!AP8</f>
        <v>0</v>
      </c>
      <c r="AJ8">
        <f>Programmation!AQ8</f>
        <v>0</v>
      </c>
      <c r="AK8">
        <f>Programmation!AR8</f>
        <v>0</v>
      </c>
      <c r="AL8">
        <f>Programmation!AS8</f>
        <v>0</v>
      </c>
      <c r="AM8">
        <f>Programmation!AT8</f>
        <v>0</v>
      </c>
      <c r="AN8">
        <f>Programmation!AU8</f>
        <v>0</v>
      </c>
      <c r="AO8">
        <f>Programmation!AV8</f>
        <v>0</v>
      </c>
      <c r="AP8">
        <f>Programmation!AW8</f>
        <v>0</v>
      </c>
      <c r="AQ8">
        <f>Programmation!AX8</f>
        <v>0</v>
      </c>
      <c r="AR8">
        <f>Programmation!AY8</f>
        <v>0</v>
      </c>
      <c r="AS8">
        <f>Programmation!AZ8*10</f>
        <v>0</v>
      </c>
      <c r="AT8">
        <f>Programmation!BA8</f>
        <v>0</v>
      </c>
      <c r="AU8">
        <f>Programmation!BB8</f>
        <v>0</v>
      </c>
      <c r="AV8">
        <f>Programmation!BC8</f>
        <v>0</v>
      </c>
      <c r="AW8">
        <f>Programmation!BD8</f>
        <v>0</v>
      </c>
      <c r="AX8">
        <v>10</v>
      </c>
      <c r="AY8">
        <f>611.213+43.53*POWER(Programmation!BP8,1)+1.598*POWER(Programmation!BP8,2)+0.0159*POWER(Programmation!BP8,3)+0.000567*POWER(Programmation!BP8,4)</f>
        <v>0</v>
      </c>
      <c r="AZ8">
        <f>IF(K8=0,0,-241*(LOG10(AY8*K8/100)-2.7887)/((LOG10(AY8*K8/100)-2.7887-7.625)))</f>
        <v>0</v>
      </c>
      <c r="BA8">
        <f>0.622*AY9*K9/(10132500-AY9*K9)*1000</f>
        <v>0</v>
      </c>
      <c r="BB8">
        <v>450</v>
      </c>
      <c r="BC8">
        <v>0</v>
      </c>
      <c r="BD8">
        <v>45</v>
      </c>
      <c r="BE8">
        <v>0</v>
      </c>
      <c r="BF8">
        <f>E39/10</f>
        <v>0</v>
      </c>
      <c r="BG8">
        <f>Programmation!BL8</f>
        <v>0</v>
      </c>
    </row>
    <row r="9" spans="1:59">
      <c r="A9">
        <f>Programmation!A9</f>
        <v>0</v>
      </c>
      <c r="B9">
        <f>Programmation!D9</f>
        <v>0</v>
      </c>
      <c r="C9">
        <f>Programmation!B9</f>
        <v>0</v>
      </c>
      <c r="D9">
        <f>Programmation!C9</f>
        <v>0</v>
      </c>
      <c r="E9">
        <f>Programmation!F9*10</f>
        <v>0</v>
      </c>
      <c r="F9">
        <f>Programmation!G9</f>
        <v>0</v>
      </c>
      <c r="G9">
        <f>IF(Programmation!H9&lt;Config!$B$9,Config!$B$9,Programmation!H9)</f>
        <v>0</v>
      </c>
      <c r="H9">
        <f>IF(Programmation!I9&lt;Config!$B$10,Config!$B$10,Programmation!I9)</f>
        <v>0</v>
      </c>
      <c r="I9">
        <f>IF(Programmation!J9&lt;Config!$B$11,Config!$B$11,Programmation!J9)</f>
        <v>0</v>
      </c>
      <c r="J9">
        <f>Programmation!K9</f>
        <v>0</v>
      </c>
      <c r="K9">
        <f>IF(Programmation!L9&gt;95,95,Programmation!L9)</f>
        <v>0</v>
      </c>
      <c r="L9">
        <f>Programmation!M9</f>
        <v>0</v>
      </c>
      <c r="M9">
        <f>Programmation!N9</f>
        <v>0</v>
      </c>
      <c r="N9">
        <f>Programmation!O9</f>
        <v>0</v>
      </c>
      <c r="O9">
        <f>Programmation!P9</f>
        <v>0</v>
      </c>
      <c r="P9">
        <f>Programmation!Q9</f>
        <v>0</v>
      </c>
      <c r="Q9">
        <f>Programmation!R9</f>
        <v>0</v>
      </c>
      <c r="R9">
        <f>Programmation!S9</f>
        <v>0</v>
      </c>
      <c r="S9">
        <f>Programmation!T9</f>
        <v>0</v>
      </c>
      <c r="T9">
        <f>Programmation!U9</f>
        <v>0</v>
      </c>
      <c r="U9">
        <f>Programmation!V9</f>
        <v>0</v>
      </c>
      <c r="V9">
        <f>Programmation!W9</f>
        <v>0</v>
      </c>
      <c r="W9">
        <f>Programmation!X9</f>
        <v>0</v>
      </c>
      <c r="X9">
        <f>Programmation!Y9</f>
        <v>0</v>
      </c>
      <c r="Y9">
        <f>Programmation!Z9</f>
        <v>0</v>
      </c>
      <c r="Z9">
        <f>Programmation!AA9</f>
        <v>0</v>
      </c>
      <c r="AA9">
        <f>Programmation!AB9+Programmation!AC9*2+Programmation!AD9*4+Programmation!AE9*8</f>
        <v>0</v>
      </c>
      <c r="AB9">
        <f>Programmation!AG9</f>
        <v>0</v>
      </c>
      <c r="AC9">
        <f>Programmation!AJ9</f>
        <v>0</v>
      </c>
      <c r="AD9">
        <f>Programmation!AK9</f>
        <v>0</v>
      </c>
      <c r="AE9">
        <f>Programmation!AL9</f>
        <v>0</v>
      </c>
      <c r="AF9">
        <f>Programmation!AM9</f>
        <v>0</v>
      </c>
      <c r="AG9">
        <f>Programmation!AN9</f>
        <v>0</v>
      </c>
      <c r="AH9">
        <f>Programmation!AO9</f>
        <v>0</v>
      </c>
      <c r="AI9">
        <f>Programmation!AP9</f>
        <v>0</v>
      </c>
      <c r="AJ9">
        <f>Programmation!AQ9</f>
        <v>0</v>
      </c>
      <c r="AK9">
        <f>Programmation!AR9</f>
        <v>0</v>
      </c>
      <c r="AL9">
        <f>Programmation!AS9</f>
        <v>0</v>
      </c>
      <c r="AM9">
        <f>Programmation!AT9</f>
        <v>0</v>
      </c>
      <c r="AN9">
        <f>Programmation!AU9</f>
        <v>0</v>
      </c>
      <c r="AO9">
        <f>Programmation!AV9</f>
        <v>0</v>
      </c>
      <c r="AP9">
        <f>Programmation!AW9</f>
        <v>0</v>
      </c>
      <c r="AQ9">
        <f>Programmation!AX9</f>
        <v>0</v>
      </c>
      <c r="AR9">
        <f>Programmation!AY9</f>
        <v>0</v>
      </c>
      <c r="AS9">
        <f>Programmation!AZ9*10</f>
        <v>0</v>
      </c>
      <c r="AT9">
        <f>Programmation!BA9</f>
        <v>0</v>
      </c>
      <c r="AU9">
        <f>Programmation!BB9</f>
        <v>0</v>
      </c>
      <c r="AV9">
        <f>Programmation!BC9</f>
        <v>0</v>
      </c>
      <c r="AW9">
        <f>Programmation!BD9</f>
        <v>0</v>
      </c>
      <c r="AX9">
        <v>10</v>
      </c>
      <c r="AY9">
        <f>611.213+43.53*POWER(Programmation!BP9,1)+1.598*POWER(Programmation!BP9,2)+0.0159*POWER(Programmation!BP9,3)+0.000567*POWER(Programmation!BP9,4)</f>
        <v>0</v>
      </c>
      <c r="AZ9">
        <f>IF(K9=0,0,-241*(LOG10(AY9*K9/100)-2.7887)/((LOG10(AY9*K9/100)-2.7887-7.625)))</f>
        <v>0</v>
      </c>
      <c r="BA9">
        <f>0.622*AY10*K10/(10132500-AY10*K10)*1000</f>
        <v>0</v>
      </c>
      <c r="BB9">
        <v>450</v>
      </c>
      <c r="BC9">
        <v>0</v>
      </c>
      <c r="BD9">
        <v>45</v>
      </c>
      <c r="BE9">
        <v>0</v>
      </c>
      <c r="BF9">
        <f>E40/10</f>
        <v>0</v>
      </c>
      <c r="BG9">
        <f>Programmation!BL9</f>
        <v>0</v>
      </c>
    </row>
    <row r="10" spans="1:59">
      <c r="A10">
        <f>Programmation!A10</f>
        <v>0</v>
      </c>
      <c r="B10">
        <f>Programmation!D10</f>
        <v>0</v>
      </c>
      <c r="C10">
        <f>Programmation!B10</f>
        <v>0</v>
      </c>
      <c r="D10">
        <f>Programmation!C10</f>
        <v>0</v>
      </c>
      <c r="E10">
        <f>Programmation!F10*10</f>
        <v>0</v>
      </c>
      <c r="F10">
        <f>Programmation!G10</f>
        <v>0</v>
      </c>
      <c r="G10">
        <f>IF(Programmation!H10&lt;Config!$B$9,Config!$B$9,Programmation!H10)</f>
        <v>0</v>
      </c>
      <c r="H10">
        <f>IF(Programmation!I10&lt;Config!$B$10,Config!$B$10,Programmation!I10)</f>
        <v>0</v>
      </c>
      <c r="I10">
        <f>IF(Programmation!J10&lt;Config!$B$11,Config!$B$11,Programmation!J10)</f>
        <v>0</v>
      </c>
      <c r="J10">
        <f>Programmation!K10</f>
        <v>0</v>
      </c>
      <c r="K10">
        <f>IF(Programmation!L10&gt;95,95,Programmation!L10)</f>
        <v>0</v>
      </c>
      <c r="L10">
        <f>Programmation!M10</f>
        <v>0</v>
      </c>
      <c r="M10">
        <f>Programmation!N10</f>
        <v>0</v>
      </c>
      <c r="N10">
        <f>Programmation!O10</f>
        <v>0</v>
      </c>
      <c r="O10">
        <f>Programmation!P10</f>
        <v>0</v>
      </c>
      <c r="P10">
        <f>Programmation!Q10</f>
        <v>0</v>
      </c>
      <c r="Q10">
        <f>Programmation!R10</f>
        <v>0</v>
      </c>
      <c r="R10">
        <f>Programmation!S10</f>
        <v>0</v>
      </c>
      <c r="S10">
        <f>Programmation!T10</f>
        <v>0</v>
      </c>
      <c r="T10">
        <f>Programmation!U10</f>
        <v>0</v>
      </c>
      <c r="U10">
        <f>Programmation!V10</f>
        <v>0</v>
      </c>
      <c r="V10">
        <f>Programmation!W10</f>
        <v>0</v>
      </c>
      <c r="W10">
        <f>Programmation!X10</f>
        <v>0</v>
      </c>
      <c r="X10">
        <f>Programmation!Y10</f>
        <v>0</v>
      </c>
      <c r="Y10">
        <f>Programmation!Z10</f>
        <v>0</v>
      </c>
      <c r="Z10">
        <f>Programmation!AA10</f>
        <v>0</v>
      </c>
      <c r="AA10">
        <f>Programmation!AB10+Programmation!AC10*2+Programmation!AD10*4+Programmation!AE10*8</f>
        <v>0</v>
      </c>
      <c r="AB10">
        <f>Programmation!AG10</f>
        <v>0</v>
      </c>
      <c r="AC10">
        <f>Programmation!AJ10</f>
        <v>0</v>
      </c>
      <c r="AD10">
        <f>Programmation!AK10</f>
        <v>0</v>
      </c>
      <c r="AE10">
        <f>Programmation!AL10</f>
        <v>0</v>
      </c>
      <c r="AF10">
        <f>Programmation!AM10</f>
        <v>0</v>
      </c>
      <c r="AG10">
        <f>Programmation!AN10</f>
        <v>0</v>
      </c>
      <c r="AH10">
        <f>Programmation!AO10</f>
        <v>0</v>
      </c>
      <c r="AI10">
        <f>Programmation!AP10</f>
        <v>0</v>
      </c>
      <c r="AJ10">
        <f>Programmation!AQ10</f>
        <v>0</v>
      </c>
      <c r="AK10">
        <f>Programmation!AR10</f>
        <v>0</v>
      </c>
      <c r="AL10">
        <f>Programmation!AS10</f>
        <v>0</v>
      </c>
      <c r="AM10">
        <f>Programmation!AT10</f>
        <v>0</v>
      </c>
      <c r="AN10">
        <f>Programmation!AU10</f>
        <v>0</v>
      </c>
      <c r="AO10">
        <f>Programmation!AV10</f>
        <v>0</v>
      </c>
      <c r="AP10">
        <f>Programmation!AW10</f>
        <v>0</v>
      </c>
      <c r="AQ10">
        <f>Programmation!AX10</f>
        <v>0</v>
      </c>
      <c r="AR10">
        <f>Programmation!AY10</f>
        <v>0</v>
      </c>
      <c r="AS10">
        <f>Programmation!AZ10*10</f>
        <v>0</v>
      </c>
      <c r="AT10">
        <f>Programmation!BA10</f>
        <v>0</v>
      </c>
      <c r="AU10">
        <f>Programmation!BB10</f>
        <v>0</v>
      </c>
      <c r="AV10">
        <f>Programmation!BC10</f>
        <v>0</v>
      </c>
      <c r="AW10">
        <f>Programmation!BD10</f>
        <v>0</v>
      </c>
      <c r="AX10">
        <v>10</v>
      </c>
      <c r="AY10">
        <f>611.213+43.53*POWER(Programmation!BP10,1)+1.598*POWER(Programmation!BP10,2)+0.0159*POWER(Programmation!BP10,3)+0.000567*POWER(Programmation!BP10,4)</f>
        <v>0</v>
      </c>
      <c r="AZ10">
        <f>IF(K10=0,0,-241*(LOG10(AY10*K10/100)-2.7887)/((LOG10(AY10*K10/100)-2.7887-7.625)))</f>
        <v>0</v>
      </c>
      <c r="BA10">
        <f>0.622*AY11*K11/(10132500-AY11*K11)*1000</f>
        <v>0</v>
      </c>
      <c r="BB10">
        <v>450</v>
      </c>
      <c r="BC10">
        <v>0</v>
      </c>
      <c r="BD10">
        <v>45</v>
      </c>
      <c r="BE10">
        <v>0</v>
      </c>
      <c r="BF10">
        <f>E41/10</f>
        <v>0</v>
      </c>
      <c r="BG10">
        <f>Programmation!BL10</f>
        <v>0</v>
      </c>
    </row>
    <row r="11" spans="1:59">
      <c r="A11">
        <f>Programmation!A11</f>
        <v>0</v>
      </c>
      <c r="B11">
        <f>Programmation!D11</f>
        <v>0</v>
      </c>
      <c r="C11">
        <f>Programmation!B11</f>
        <v>0</v>
      </c>
      <c r="D11">
        <f>Programmation!C11</f>
        <v>0</v>
      </c>
      <c r="E11">
        <f>Programmation!F11*10</f>
        <v>0</v>
      </c>
      <c r="F11">
        <f>Programmation!G11</f>
        <v>0</v>
      </c>
      <c r="G11">
        <f>IF(Programmation!H11&lt;Config!$B$9,Config!$B$9,Programmation!H11)</f>
        <v>0</v>
      </c>
      <c r="H11">
        <f>IF(Programmation!I11&lt;Config!$B$10,Config!$B$10,Programmation!I11)</f>
        <v>0</v>
      </c>
      <c r="I11">
        <f>IF(Programmation!J11&lt;Config!$B$11,Config!$B$11,Programmation!J11)</f>
        <v>0</v>
      </c>
      <c r="J11">
        <f>Programmation!K11</f>
        <v>0</v>
      </c>
      <c r="K11">
        <f>IF(Programmation!L11&gt;95,95,Programmation!L11)</f>
        <v>0</v>
      </c>
      <c r="L11">
        <f>Programmation!M11</f>
        <v>0</v>
      </c>
      <c r="M11">
        <f>Programmation!N11</f>
        <v>0</v>
      </c>
      <c r="N11">
        <f>Programmation!O11</f>
        <v>0</v>
      </c>
      <c r="O11">
        <f>Programmation!P11</f>
        <v>0</v>
      </c>
      <c r="P11">
        <f>Programmation!Q11</f>
        <v>0</v>
      </c>
      <c r="Q11">
        <f>Programmation!R11</f>
        <v>0</v>
      </c>
      <c r="R11">
        <f>Programmation!S11</f>
        <v>0</v>
      </c>
      <c r="S11">
        <f>Programmation!T11</f>
        <v>0</v>
      </c>
      <c r="T11">
        <f>Programmation!U11</f>
        <v>0</v>
      </c>
      <c r="U11">
        <f>Programmation!V11</f>
        <v>0</v>
      </c>
      <c r="V11">
        <f>Programmation!W11</f>
        <v>0</v>
      </c>
      <c r="W11">
        <f>Programmation!X11</f>
        <v>0</v>
      </c>
      <c r="X11">
        <f>Programmation!Y11</f>
        <v>0</v>
      </c>
      <c r="Y11">
        <f>Programmation!Z11</f>
        <v>0</v>
      </c>
      <c r="Z11">
        <f>Programmation!AA11</f>
        <v>0</v>
      </c>
      <c r="AA11">
        <f>Programmation!AB11+Programmation!AC11*2+Programmation!AD11*4+Programmation!AE11*8</f>
        <v>0</v>
      </c>
      <c r="AB11">
        <f>Programmation!AG11</f>
        <v>0</v>
      </c>
      <c r="AC11">
        <f>Programmation!AJ11</f>
        <v>0</v>
      </c>
      <c r="AD11">
        <f>Programmation!AK11</f>
        <v>0</v>
      </c>
      <c r="AE11">
        <f>Programmation!AL11</f>
        <v>0</v>
      </c>
      <c r="AF11">
        <f>Programmation!AM11</f>
        <v>0</v>
      </c>
      <c r="AG11">
        <f>Programmation!AN11</f>
        <v>0</v>
      </c>
      <c r="AH11">
        <f>Programmation!AO11</f>
        <v>0</v>
      </c>
      <c r="AI11">
        <f>Programmation!AP11</f>
        <v>0</v>
      </c>
      <c r="AJ11">
        <f>Programmation!AQ11</f>
        <v>0</v>
      </c>
      <c r="AK11">
        <f>Programmation!AR11</f>
        <v>0</v>
      </c>
      <c r="AL11">
        <f>Programmation!AS11</f>
        <v>0</v>
      </c>
      <c r="AM11">
        <f>Programmation!AT11</f>
        <v>0</v>
      </c>
      <c r="AN11">
        <f>Programmation!AU11</f>
        <v>0</v>
      </c>
      <c r="AO11">
        <f>Programmation!AV11</f>
        <v>0</v>
      </c>
      <c r="AP11">
        <f>Programmation!AW11</f>
        <v>0</v>
      </c>
      <c r="AQ11">
        <f>Programmation!AX11</f>
        <v>0</v>
      </c>
      <c r="AR11">
        <f>Programmation!AY11</f>
        <v>0</v>
      </c>
      <c r="AS11">
        <f>Programmation!AZ11*10</f>
        <v>0</v>
      </c>
      <c r="AT11">
        <f>Programmation!BA11</f>
        <v>0</v>
      </c>
      <c r="AU11">
        <f>Programmation!BB11</f>
        <v>0</v>
      </c>
      <c r="AV11">
        <f>Programmation!BC11</f>
        <v>0</v>
      </c>
      <c r="AW11">
        <f>Programmation!BD11</f>
        <v>0</v>
      </c>
      <c r="AX11">
        <v>10</v>
      </c>
      <c r="AY11">
        <f>611.213+43.53*POWER(Programmation!BP11,1)+1.598*POWER(Programmation!BP11,2)+0.0159*POWER(Programmation!BP11,3)+0.000567*POWER(Programmation!BP11,4)</f>
        <v>0</v>
      </c>
      <c r="AZ11">
        <f>IF(K11=0,0,-241*(LOG10(AY11*K11/100)-2.7887)/((LOG10(AY11*K11/100)-2.7887-7.625)))</f>
        <v>0</v>
      </c>
      <c r="BA11">
        <f>0.622*AY12*K12/(10132500-AY12*K12)*1000</f>
        <v>0</v>
      </c>
      <c r="BB11">
        <v>450</v>
      </c>
      <c r="BC11">
        <v>0</v>
      </c>
      <c r="BD11">
        <v>45</v>
      </c>
      <c r="BE11">
        <v>0</v>
      </c>
      <c r="BF11">
        <f>E42/10</f>
        <v>0</v>
      </c>
      <c r="BG11">
        <f>Programmation!BL11</f>
        <v>0</v>
      </c>
    </row>
    <row r="12" spans="1:59">
      <c r="A12">
        <f>Programmation!A12</f>
        <v>0</v>
      </c>
      <c r="B12">
        <f>Programmation!D12</f>
        <v>0</v>
      </c>
      <c r="C12">
        <f>Programmation!B12</f>
        <v>0</v>
      </c>
      <c r="D12">
        <f>Programmation!C12</f>
        <v>0</v>
      </c>
      <c r="E12">
        <f>Programmation!F12*10</f>
        <v>0</v>
      </c>
      <c r="F12">
        <f>Programmation!G12</f>
        <v>0</v>
      </c>
      <c r="G12">
        <f>IF(Programmation!H12&lt;Config!$B$9,Config!$B$9,Programmation!H12)</f>
        <v>0</v>
      </c>
      <c r="H12">
        <f>IF(Programmation!I12&lt;Config!$B$10,Config!$B$10,Programmation!I12)</f>
        <v>0</v>
      </c>
      <c r="I12">
        <f>IF(Programmation!J12&lt;Config!$B$11,Config!$B$11,Programmation!J12)</f>
        <v>0</v>
      </c>
      <c r="J12">
        <f>Programmation!K12</f>
        <v>0</v>
      </c>
      <c r="K12">
        <f>IF(Programmation!L12&gt;95,95,Programmation!L12)</f>
        <v>0</v>
      </c>
      <c r="L12">
        <f>Programmation!M12</f>
        <v>0</v>
      </c>
      <c r="M12">
        <f>Programmation!N12</f>
        <v>0</v>
      </c>
      <c r="N12">
        <f>Programmation!O12</f>
        <v>0</v>
      </c>
      <c r="O12">
        <f>Programmation!P12</f>
        <v>0</v>
      </c>
      <c r="P12">
        <f>Programmation!Q12</f>
        <v>0</v>
      </c>
      <c r="Q12">
        <f>Programmation!R12</f>
        <v>0</v>
      </c>
      <c r="R12">
        <f>Programmation!S12</f>
        <v>0</v>
      </c>
      <c r="S12">
        <f>Programmation!T12</f>
        <v>0</v>
      </c>
      <c r="T12">
        <f>Programmation!U12</f>
        <v>0</v>
      </c>
      <c r="U12">
        <f>Programmation!V12</f>
        <v>0</v>
      </c>
      <c r="V12">
        <f>Programmation!W12</f>
        <v>0</v>
      </c>
      <c r="W12">
        <f>Programmation!X12</f>
        <v>0</v>
      </c>
      <c r="X12">
        <f>Programmation!Y12</f>
        <v>0</v>
      </c>
      <c r="Y12">
        <f>Programmation!Z12</f>
        <v>0</v>
      </c>
      <c r="Z12">
        <f>Programmation!AA12</f>
        <v>0</v>
      </c>
      <c r="AA12">
        <f>Programmation!AB12+Programmation!AC12*2+Programmation!AD12*4+Programmation!AE12*8</f>
        <v>0</v>
      </c>
      <c r="AB12">
        <f>Programmation!AG12</f>
        <v>0</v>
      </c>
      <c r="AC12">
        <f>Programmation!AJ12</f>
        <v>0</v>
      </c>
      <c r="AD12">
        <f>Programmation!AK12</f>
        <v>0</v>
      </c>
      <c r="AE12">
        <f>Programmation!AL12</f>
        <v>0</v>
      </c>
      <c r="AF12">
        <f>Programmation!AM12</f>
        <v>0</v>
      </c>
      <c r="AG12">
        <f>Programmation!AN12</f>
        <v>0</v>
      </c>
      <c r="AH12">
        <f>Programmation!AO12</f>
        <v>0</v>
      </c>
      <c r="AI12">
        <f>Programmation!AP12</f>
        <v>0</v>
      </c>
      <c r="AJ12">
        <f>Programmation!AQ12</f>
        <v>0</v>
      </c>
      <c r="AK12">
        <f>Programmation!AR12</f>
        <v>0</v>
      </c>
      <c r="AL12">
        <f>Programmation!AS12</f>
        <v>0</v>
      </c>
      <c r="AM12">
        <f>Programmation!AT12</f>
        <v>0</v>
      </c>
      <c r="AN12">
        <f>Programmation!AU12</f>
        <v>0</v>
      </c>
      <c r="AO12">
        <f>Programmation!AV12</f>
        <v>0</v>
      </c>
      <c r="AP12">
        <f>Programmation!AW12</f>
        <v>0</v>
      </c>
      <c r="AQ12">
        <f>Programmation!AX12</f>
        <v>0</v>
      </c>
      <c r="AR12">
        <f>Programmation!AY12</f>
        <v>0</v>
      </c>
      <c r="AS12">
        <f>Programmation!AZ12*10</f>
        <v>0</v>
      </c>
      <c r="AT12">
        <f>Programmation!BA12</f>
        <v>0</v>
      </c>
      <c r="AU12">
        <f>Programmation!BB12</f>
        <v>0</v>
      </c>
      <c r="AV12">
        <f>Programmation!BC12</f>
        <v>0</v>
      </c>
      <c r="AW12">
        <f>Programmation!BD12</f>
        <v>0</v>
      </c>
      <c r="AX12">
        <v>10</v>
      </c>
      <c r="AY12">
        <f>611.213+43.53*POWER(Programmation!BP12,1)+1.598*POWER(Programmation!BP12,2)+0.0159*POWER(Programmation!BP12,3)+0.000567*POWER(Programmation!BP12,4)</f>
        <v>0</v>
      </c>
      <c r="AZ12">
        <f>IF(K12=0,0,-241*(LOG10(AY12*K12/100)-2.7887)/((LOG10(AY12*K12/100)-2.7887-7.625)))</f>
        <v>0</v>
      </c>
      <c r="BA12">
        <f>0.622*AY13*K13/(10132500-AY13*K13)*1000</f>
        <v>0</v>
      </c>
      <c r="BB12">
        <v>450</v>
      </c>
      <c r="BC12">
        <v>0</v>
      </c>
      <c r="BD12">
        <v>45</v>
      </c>
      <c r="BE12">
        <v>0</v>
      </c>
      <c r="BF12">
        <f>E43/10</f>
        <v>0</v>
      </c>
      <c r="BG12">
        <f>Programmation!BL12</f>
        <v>0</v>
      </c>
    </row>
    <row r="13" spans="1:59">
      <c r="A13">
        <f>Programmation!A13</f>
        <v>0</v>
      </c>
      <c r="B13">
        <f>Programmation!D13</f>
        <v>0</v>
      </c>
      <c r="C13">
        <f>Programmation!B13</f>
        <v>0</v>
      </c>
      <c r="D13">
        <f>Programmation!C13</f>
        <v>0</v>
      </c>
      <c r="E13">
        <f>Programmation!F13*10</f>
        <v>0</v>
      </c>
      <c r="F13">
        <f>Programmation!G13</f>
        <v>0</v>
      </c>
      <c r="G13">
        <f>IF(Programmation!H13&lt;Config!$B$9,Config!$B$9,Programmation!H13)</f>
        <v>0</v>
      </c>
      <c r="H13">
        <f>IF(Programmation!I13&lt;Config!$B$10,Config!$B$10,Programmation!I13)</f>
        <v>0</v>
      </c>
      <c r="I13">
        <f>IF(Programmation!J13&lt;Config!$B$11,Config!$B$11,Programmation!J13)</f>
        <v>0</v>
      </c>
      <c r="J13">
        <f>Programmation!K13</f>
        <v>0</v>
      </c>
      <c r="K13">
        <f>IF(Programmation!L13&gt;95,95,Programmation!L13)</f>
        <v>0</v>
      </c>
      <c r="L13">
        <f>Programmation!M13</f>
        <v>0</v>
      </c>
      <c r="M13">
        <f>Programmation!N13</f>
        <v>0</v>
      </c>
      <c r="N13">
        <f>Programmation!O13</f>
        <v>0</v>
      </c>
      <c r="O13">
        <f>Programmation!P13</f>
        <v>0</v>
      </c>
      <c r="P13">
        <f>Programmation!Q13</f>
        <v>0</v>
      </c>
      <c r="Q13">
        <f>Programmation!R13</f>
        <v>0</v>
      </c>
      <c r="R13">
        <f>Programmation!S13</f>
        <v>0</v>
      </c>
      <c r="S13">
        <f>Programmation!T13</f>
        <v>0</v>
      </c>
      <c r="T13">
        <f>Programmation!U13</f>
        <v>0</v>
      </c>
      <c r="U13">
        <f>Programmation!V13</f>
        <v>0</v>
      </c>
      <c r="V13">
        <f>Programmation!W13</f>
        <v>0</v>
      </c>
      <c r="W13">
        <f>Programmation!X13</f>
        <v>0</v>
      </c>
      <c r="X13">
        <f>Programmation!Y13</f>
        <v>0</v>
      </c>
      <c r="Y13">
        <f>Programmation!Z13</f>
        <v>0</v>
      </c>
      <c r="Z13">
        <f>Programmation!AA13</f>
        <v>0</v>
      </c>
      <c r="AA13">
        <f>Programmation!AB13+Programmation!AC13*2+Programmation!AD13*4+Programmation!AE13*8</f>
        <v>0</v>
      </c>
      <c r="AB13">
        <f>Programmation!AG13</f>
        <v>0</v>
      </c>
      <c r="AC13">
        <f>Programmation!AJ13</f>
        <v>0</v>
      </c>
      <c r="AD13">
        <f>Programmation!AK13</f>
        <v>0</v>
      </c>
      <c r="AE13">
        <f>Programmation!AL13</f>
        <v>0</v>
      </c>
      <c r="AF13">
        <f>Programmation!AM13</f>
        <v>0</v>
      </c>
      <c r="AG13">
        <f>Programmation!AN13</f>
        <v>0</v>
      </c>
      <c r="AH13">
        <f>Programmation!AO13</f>
        <v>0</v>
      </c>
      <c r="AI13">
        <f>Programmation!AP13</f>
        <v>0</v>
      </c>
      <c r="AJ13">
        <f>Programmation!AQ13</f>
        <v>0</v>
      </c>
      <c r="AK13">
        <f>Programmation!AR13</f>
        <v>0</v>
      </c>
      <c r="AL13">
        <f>Programmation!AS13</f>
        <v>0</v>
      </c>
      <c r="AM13">
        <f>Programmation!AT13</f>
        <v>0</v>
      </c>
      <c r="AN13">
        <f>Programmation!AU13</f>
        <v>0</v>
      </c>
      <c r="AO13">
        <f>Programmation!AV13</f>
        <v>0</v>
      </c>
      <c r="AP13">
        <f>Programmation!AW13</f>
        <v>0</v>
      </c>
      <c r="AQ13">
        <f>Programmation!AX13</f>
        <v>0</v>
      </c>
      <c r="AR13">
        <f>Programmation!AY13</f>
        <v>0</v>
      </c>
      <c r="AS13">
        <f>Programmation!AZ13*10</f>
        <v>0</v>
      </c>
      <c r="AT13">
        <f>Programmation!BA13</f>
        <v>0</v>
      </c>
      <c r="AU13">
        <f>Programmation!BB13</f>
        <v>0</v>
      </c>
      <c r="AV13">
        <f>Programmation!BC13</f>
        <v>0</v>
      </c>
      <c r="AW13">
        <f>Programmation!BD13</f>
        <v>0</v>
      </c>
      <c r="AX13">
        <v>10</v>
      </c>
      <c r="AY13">
        <f>611.213+43.53*POWER(Programmation!BP13,1)+1.598*POWER(Programmation!BP13,2)+0.0159*POWER(Programmation!BP13,3)+0.000567*POWER(Programmation!BP13,4)</f>
        <v>0</v>
      </c>
      <c r="AZ13">
        <f>IF(K13=0,0,-241*(LOG10(AY13*K13/100)-2.7887)/((LOG10(AY13*K13/100)-2.7887-7.625)))</f>
        <v>0</v>
      </c>
      <c r="BA13">
        <f>0.622*AY14*K14/(10132500-AY14*K14)*1000</f>
        <v>0</v>
      </c>
      <c r="BB13">
        <v>450</v>
      </c>
      <c r="BC13">
        <v>0</v>
      </c>
      <c r="BD13">
        <v>45</v>
      </c>
      <c r="BE13">
        <v>0</v>
      </c>
      <c r="BF13">
        <f>E44/10</f>
        <v>0</v>
      </c>
      <c r="BG13">
        <f>Programmation!BL13</f>
        <v>0</v>
      </c>
    </row>
    <row r="14" spans="1:59">
      <c r="A14">
        <f>Programmation!A14</f>
        <v>0</v>
      </c>
      <c r="B14">
        <f>Programmation!D14</f>
        <v>0</v>
      </c>
      <c r="C14">
        <f>Programmation!B14</f>
        <v>0</v>
      </c>
      <c r="D14">
        <f>Programmation!C14</f>
        <v>0</v>
      </c>
      <c r="E14">
        <f>Programmation!F14*10</f>
        <v>0</v>
      </c>
      <c r="F14">
        <f>Programmation!G14</f>
        <v>0</v>
      </c>
      <c r="G14">
        <f>IF(Programmation!H14&lt;Config!$B$9,Config!$B$9,Programmation!H14)</f>
        <v>0</v>
      </c>
      <c r="H14">
        <f>IF(Programmation!I14&lt;Config!$B$10,Config!$B$10,Programmation!I14)</f>
        <v>0</v>
      </c>
      <c r="I14">
        <f>IF(Programmation!J14&lt;Config!$B$11,Config!$B$11,Programmation!J14)</f>
        <v>0</v>
      </c>
      <c r="J14">
        <f>Programmation!K14</f>
        <v>0</v>
      </c>
      <c r="K14">
        <f>IF(Programmation!L14&gt;95,95,Programmation!L14)</f>
        <v>0</v>
      </c>
      <c r="L14">
        <f>Programmation!M14</f>
        <v>0</v>
      </c>
      <c r="M14">
        <f>Programmation!N14</f>
        <v>0</v>
      </c>
      <c r="N14">
        <f>Programmation!O14</f>
        <v>0</v>
      </c>
      <c r="O14">
        <f>Programmation!P14</f>
        <v>0</v>
      </c>
      <c r="P14">
        <f>Programmation!Q14</f>
        <v>0</v>
      </c>
      <c r="Q14">
        <f>Programmation!R14</f>
        <v>0</v>
      </c>
      <c r="R14">
        <f>Programmation!S14</f>
        <v>0</v>
      </c>
      <c r="S14">
        <f>Programmation!T14</f>
        <v>0</v>
      </c>
      <c r="T14">
        <f>Programmation!U14</f>
        <v>0</v>
      </c>
      <c r="U14">
        <f>Programmation!V14</f>
        <v>0</v>
      </c>
      <c r="V14">
        <f>Programmation!W14</f>
        <v>0</v>
      </c>
      <c r="W14">
        <f>Programmation!X14</f>
        <v>0</v>
      </c>
      <c r="X14">
        <f>Programmation!Y14</f>
        <v>0</v>
      </c>
      <c r="Y14">
        <f>Programmation!Z14</f>
        <v>0</v>
      </c>
      <c r="Z14">
        <f>Programmation!AA14</f>
        <v>0</v>
      </c>
      <c r="AA14">
        <f>Programmation!AB14+Programmation!AC14*2+Programmation!AD14*4+Programmation!AE14*8</f>
        <v>0</v>
      </c>
      <c r="AB14">
        <f>Programmation!AG14</f>
        <v>0</v>
      </c>
      <c r="AC14">
        <f>Programmation!AJ14</f>
        <v>0</v>
      </c>
      <c r="AD14">
        <f>Programmation!AK14</f>
        <v>0</v>
      </c>
      <c r="AE14">
        <f>Programmation!AL14</f>
        <v>0</v>
      </c>
      <c r="AF14">
        <f>Programmation!AM14</f>
        <v>0</v>
      </c>
      <c r="AG14">
        <f>Programmation!AN14</f>
        <v>0</v>
      </c>
      <c r="AH14">
        <f>Programmation!AO14</f>
        <v>0</v>
      </c>
      <c r="AI14">
        <f>Programmation!AP14</f>
        <v>0</v>
      </c>
      <c r="AJ14">
        <f>Programmation!AQ14</f>
        <v>0</v>
      </c>
      <c r="AK14">
        <f>Programmation!AR14</f>
        <v>0</v>
      </c>
      <c r="AL14">
        <f>Programmation!AS14</f>
        <v>0</v>
      </c>
      <c r="AM14">
        <f>Programmation!AT14</f>
        <v>0</v>
      </c>
      <c r="AN14">
        <f>Programmation!AU14</f>
        <v>0</v>
      </c>
      <c r="AO14">
        <f>Programmation!AV14</f>
        <v>0</v>
      </c>
      <c r="AP14">
        <f>Programmation!AW14</f>
        <v>0</v>
      </c>
      <c r="AQ14">
        <f>Programmation!AX14</f>
        <v>0</v>
      </c>
      <c r="AR14">
        <f>Programmation!AY14</f>
        <v>0</v>
      </c>
      <c r="AS14">
        <f>Programmation!AZ14*10</f>
        <v>0</v>
      </c>
      <c r="AT14">
        <f>Programmation!BA14</f>
        <v>0</v>
      </c>
      <c r="AU14">
        <f>Programmation!BB14</f>
        <v>0</v>
      </c>
      <c r="AV14">
        <f>Programmation!BC14</f>
        <v>0</v>
      </c>
      <c r="AW14">
        <f>Programmation!BD14</f>
        <v>0</v>
      </c>
      <c r="AX14">
        <v>10</v>
      </c>
      <c r="AY14">
        <f>611.213+43.53*POWER(Programmation!BP14,1)+1.598*POWER(Programmation!BP14,2)+0.0159*POWER(Programmation!BP14,3)+0.000567*POWER(Programmation!BP14,4)</f>
        <v>0</v>
      </c>
      <c r="AZ14">
        <f>IF(K14=0,0,-241*(LOG10(AY14*K14/100)-2.7887)/((LOG10(AY14*K14/100)-2.7887-7.625)))</f>
        <v>0</v>
      </c>
      <c r="BA14">
        <f>0.622*AY15*K15/(10132500-AY15*K15)*1000</f>
        <v>0</v>
      </c>
      <c r="BB14">
        <v>450</v>
      </c>
      <c r="BC14">
        <v>0</v>
      </c>
      <c r="BD14">
        <v>45</v>
      </c>
      <c r="BE14">
        <v>0</v>
      </c>
      <c r="BF14">
        <f>E45/10</f>
        <v>0</v>
      </c>
      <c r="BG14">
        <f>Programmation!BL14</f>
        <v>0</v>
      </c>
    </row>
    <row r="15" spans="1:59">
      <c r="A15">
        <f>Programmation!A15</f>
        <v>0</v>
      </c>
      <c r="B15">
        <f>Programmation!D15</f>
        <v>0</v>
      </c>
      <c r="C15">
        <f>Programmation!B15</f>
        <v>0</v>
      </c>
      <c r="D15">
        <f>Programmation!C15</f>
        <v>0</v>
      </c>
      <c r="E15">
        <f>Programmation!F15*10</f>
        <v>0</v>
      </c>
      <c r="F15">
        <f>Programmation!G15</f>
        <v>0</v>
      </c>
      <c r="G15">
        <f>IF(Programmation!H15&lt;Config!$B$9,Config!$B$9,Programmation!H15)</f>
        <v>0</v>
      </c>
      <c r="H15">
        <f>IF(Programmation!I15&lt;Config!$B$10,Config!$B$10,Programmation!I15)</f>
        <v>0</v>
      </c>
      <c r="I15">
        <f>IF(Programmation!J15&lt;Config!$B$11,Config!$B$11,Programmation!J15)</f>
        <v>0</v>
      </c>
      <c r="J15">
        <f>Programmation!K15</f>
        <v>0</v>
      </c>
      <c r="K15">
        <f>IF(Programmation!L15&gt;95,95,Programmation!L15)</f>
        <v>0</v>
      </c>
      <c r="L15">
        <f>Programmation!M15</f>
        <v>0</v>
      </c>
      <c r="M15">
        <f>Programmation!N15</f>
        <v>0</v>
      </c>
      <c r="N15">
        <f>Programmation!O15</f>
        <v>0</v>
      </c>
      <c r="O15">
        <f>Programmation!P15</f>
        <v>0</v>
      </c>
      <c r="P15">
        <f>Programmation!Q15</f>
        <v>0</v>
      </c>
      <c r="Q15">
        <f>Programmation!R15</f>
        <v>0</v>
      </c>
      <c r="R15">
        <f>Programmation!S15</f>
        <v>0</v>
      </c>
      <c r="S15">
        <f>Programmation!T15</f>
        <v>0</v>
      </c>
      <c r="T15">
        <f>Programmation!U15</f>
        <v>0</v>
      </c>
      <c r="U15">
        <f>Programmation!V15</f>
        <v>0</v>
      </c>
      <c r="V15">
        <f>Programmation!W15</f>
        <v>0</v>
      </c>
      <c r="W15">
        <f>Programmation!X15</f>
        <v>0</v>
      </c>
      <c r="X15">
        <f>Programmation!Y15</f>
        <v>0</v>
      </c>
      <c r="Y15">
        <f>Programmation!Z15</f>
        <v>0</v>
      </c>
      <c r="Z15">
        <f>Programmation!AA15</f>
        <v>0</v>
      </c>
      <c r="AA15">
        <f>Programmation!AB15+Programmation!AC15*2+Programmation!AD15*4+Programmation!AE15*8</f>
        <v>0</v>
      </c>
      <c r="AB15">
        <f>Programmation!AG15</f>
        <v>0</v>
      </c>
      <c r="AC15">
        <f>Programmation!AJ15</f>
        <v>0</v>
      </c>
      <c r="AD15">
        <f>Programmation!AK15</f>
        <v>0</v>
      </c>
      <c r="AE15">
        <f>Programmation!AL15</f>
        <v>0</v>
      </c>
      <c r="AF15">
        <f>Programmation!AM15</f>
        <v>0</v>
      </c>
      <c r="AG15">
        <f>Programmation!AN15</f>
        <v>0</v>
      </c>
      <c r="AH15">
        <f>Programmation!AO15</f>
        <v>0</v>
      </c>
      <c r="AI15">
        <f>Programmation!AP15</f>
        <v>0</v>
      </c>
      <c r="AJ15">
        <f>Programmation!AQ15</f>
        <v>0</v>
      </c>
      <c r="AK15">
        <f>Programmation!AR15</f>
        <v>0</v>
      </c>
      <c r="AL15">
        <f>Programmation!AS15</f>
        <v>0</v>
      </c>
      <c r="AM15">
        <f>Programmation!AT15</f>
        <v>0</v>
      </c>
      <c r="AN15">
        <f>Programmation!AU15</f>
        <v>0</v>
      </c>
      <c r="AO15">
        <f>Programmation!AV15</f>
        <v>0</v>
      </c>
      <c r="AP15">
        <f>Programmation!AW15</f>
        <v>0</v>
      </c>
      <c r="AQ15">
        <f>Programmation!AX15</f>
        <v>0</v>
      </c>
      <c r="AR15">
        <f>Programmation!AY15</f>
        <v>0</v>
      </c>
      <c r="AS15">
        <f>Programmation!AZ15*10</f>
        <v>0</v>
      </c>
      <c r="AT15">
        <f>Programmation!BA15</f>
        <v>0</v>
      </c>
      <c r="AU15">
        <f>Programmation!BB15</f>
        <v>0</v>
      </c>
      <c r="AV15">
        <f>Programmation!BC15</f>
        <v>0</v>
      </c>
      <c r="AW15">
        <f>Programmation!BD15</f>
        <v>0</v>
      </c>
      <c r="AX15">
        <v>10</v>
      </c>
      <c r="AY15">
        <f>611.213+43.53*POWER(Programmation!BP15,1)+1.598*POWER(Programmation!BP15,2)+0.0159*POWER(Programmation!BP15,3)+0.000567*POWER(Programmation!BP15,4)</f>
        <v>0</v>
      </c>
      <c r="AZ15">
        <f>IF(K15=0,0,-241*(LOG10(AY15*K15/100)-2.7887)/((LOG10(AY15*K15/100)-2.7887-7.625)))</f>
        <v>0</v>
      </c>
      <c r="BA15">
        <f>0.622*AY16*K16/(10132500-AY16*K16)*1000</f>
        <v>0</v>
      </c>
      <c r="BB15">
        <v>450</v>
      </c>
      <c r="BC15">
        <v>0</v>
      </c>
      <c r="BD15">
        <v>45</v>
      </c>
      <c r="BE15">
        <v>0</v>
      </c>
      <c r="BF15">
        <f>E46/10</f>
        <v>0</v>
      </c>
      <c r="BG15">
        <f>Programmation!BL15</f>
        <v>0</v>
      </c>
    </row>
    <row r="16" spans="1:59">
      <c r="A16">
        <f>Programmation!A16</f>
        <v>0</v>
      </c>
      <c r="B16">
        <f>Programmation!D16</f>
        <v>0</v>
      </c>
      <c r="C16">
        <f>Programmation!B16</f>
        <v>0</v>
      </c>
      <c r="D16">
        <f>Programmation!C16</f>
        <v>0</v>
      </c>
      <c r="E16">
        <f>Programmation!F16*10</f>
        <v>0</v>
      </c>
      <c r="F16">
        <f>Programmation!G16</f>
        <v>0</v>
      </c>
      <c r="G16">
        <f>IF(Programmation!H16&lt;Config!$B$9,Config!$B$9,Programmation!H16)</f>
        <v>0</v>
      </c>
      <c r="H16">
        <f>IF(Programmation!I16&lt;Config!$B$10,Config!$B$10,Programmation!I16)</f>
        <v>0</v>
      </c>
      <c r="I16">
        <f>IF(Programmation!J16&lt;Config!$B$11,Config!$B$11,Programmation!J16)</f>
        <v>0</v>
      </c>
      <c r="J16">
        <f>Programmation!K16</f>
        <v>0</v>
      </c>
      <c r="K16">
        <f>IF(Programmation!L16&gt;95,95,Programmation!L16)</f>
        <v>0</v>
      </c>
      <c r="L16">
        <f>Programmation!M16</f>
        <v>0</v>
      </c>
      <c r="M16">
        <f>Programmation!N16</f>
        <v>0</v>
      </c>
      <c r="N16">
        <f>Programmation!O16</f>
        <v>0</v>
      </c>
      <c r="O16">
        <f>Programmation!P16</f>
        <v>0</v>
      </c>
      <c r="P16">
        <f>Programmation!Q16</f>
        <v>0</v>
      </c>
      <c r="Q16">
        <f>Programmation!R16</f>
        <v>0</v>
      </c>
      <c r="R16">
        <f>Programmation!S16</f>
        <v>0</v>
      </c>
      <c r="S16">
        <f>Programmation!T16</f>
        <v>0</v>
      </c>
      <c r="T16">
        <f>Programmation!U16</f>
        <v>0</v>
      </c>
      <c r="U16">
        <f>Programmation!V16</f>
        <v>0</v>
      </c>
      <c r="V16">
        <f>Programmation!W16</f>
        <v>0</v>
      </c>
      <c r="W16">
        <f>Programmation!X16</f>
        <v>0</v>
      </c>
      <c r="X16">
        <f>Programmation!Y16</f>
        <v>0</v>
      </c>
      <c r="Y16">
        <f>Programmation!Z16</f>
        <v>0</v>
      </c>
      <c r="Z16">
        <f>Programmation!AA16</f>
        <v>0</v>
      </c>
      <c r="AA16">
        <f>Programmation!AB16+Programmation!AC16*2+Programmation!AD16*4+Programmation!AE16*8</f>
        <v>0</v>
      </c>
      <c r="AB16">
        <f>Programmation!AG16</f>
        <v>0</v>
      </c>
      <c r="AC16">
        <f>Programmation!AJ16</f>
        <v>0</v>
      </c>
      <c r="AD16">
        <f>Programmation!AK16</f>
        <v>0</v>
      </c>
      <c r="AE16">
        <f>Programmation!AL16</f>
        <v>0</v>
      </c>
      <c r="AF16">
        <f>Programmation!AM16</f>
        <v>0</v>
      </c>
      <c r="AG16">
        <f>Programmation!AN16</f>
        <v>0</v>
      </c>
      <c r="AH16">
        <f>Programmation!AO16</f>
        <v>0</v>
      </c>
      <c r="AI16">
        <f>Programmation!AP16</f>
        <v>0</v>
      </c>
      <c r="AJ16">
        <f>Programmation!AQ16</f>
        <v>0</v>
      </c>
      <c r="AK16">
        <f>Programmation!AR16</f>
        <v>0</v>
      </c>
      <c r="AL16">
        <f>Programmation!AS16</f>
        <v>0</v>
      </c>
      <c r="AM16">
        <f>Programmation!AT16</f>
        <v>0</v>
      </c>
      <c r="AN16">
        <f>Programmation!AU16</f>
        <v>0</v>
      </c>
      <c r="AO16">
        <f>Programmation!AV16</f>
        <v>0</v>
      </c>
      <c r="AP16">
        <f>Programmation!AW16</f>
        <v>0</v>
      </c>
      <c r="AQ16">
        <f>Programmation!AX16</f>
        <v>0</v>
      </c>
      <c r="AR16">
        <f>Programmation!AY16</f>
        <v>0</v>
      </c>
      <c r="AS16">
        <f>Programmation!AZ16*10</f>
        <v>0</v>
      </c>
      <c r="AT16">
        <f>Programmation!BA16</f>
        <v>0</v>
      </c>
      <c r="AU16">
        <f>Programmation!BB16</f>
        <v>0</v>
      </c>
      <c r="AV16">
        <f>Programmation!BC16</f>
        <v>0</v>
      </c>
      <c r="AW16">
        <f>Programmation!BD16</f>
        <v>0</v>
      </c>
      <c r="AX16">
        <v>10</v>
      </c>
      <c r="AY16">
        <f>611.213+43.53*POWER(Programmation!BP16,1)+1.598*POWER(Programmation!BP16,2)+0.0159*POWER(Programmation!BP16,3)+0.000567*POWER(Programmation!BP16,4)</f>
        <v>0</v>
      </c>
      <c r="AZ16">
        <f>IF(K16=0,0,-241*(LOG10(AY16*K16/100)-2.7887)/((LOG10(AY16*K16/100)-2.7887-7.625)))</f>
        <v>0</v>
      </c>
      <c r="BA16">
        <f>0.622*AY17*K17/(10132500-AY17*K17)*1000</f>
        <v>0</v>
      </c>
      <c r="BB16">
        <v>450</v>
      </c>
      <c r="BC16">
        <v>0</v>
      </c>
      <c r="BD16">
        <v>45</v>
      </c>
      <c r="BE16">
        <v>0</v>
      </c>
      <c r="BF16">
        <f>E47/10</f>
        <v>0</v>
      </c>
      <c r="BG16">
        <f>Programmation!BL16</f>
        <v>0</v>
      </c>
    </row>
    <row r="17" spans="1:59">
      <c r="A17">
        <f>Programmation!A17</f>
        <v>0</v>
      </c>
      <c r="B17">
        <f>Programmation!D17</f>
        <v>0</v>
      </c>
      <c r="C17">
        <f>Programmation!B17</f>
        <v>0</v>
      </c>
      <c r="D17">
        <f>Programmation!C17</f>
        <v>0</v>
      </c>
      <c r="E17">
        <f>Programmation!F17*10</f>
        <v>0</v>
      </c>
      <c r="F17">
        <f>Programmation!G17</f>
        <v>0</v>
      </c>
      <c r="G17">
        <f>IF(Programmation!H17&lt;Config!$B$9,Config!$B$9,Programmation!H17)</f>
        <v>0</v>
      </c>
      <c r="H17">
        <f>IF(Programmation!I17&lt;Config!$B$10,Config!$B$10,Programmation!I17)</f>
        <v>0</v>
      </c>
      <c r="I17">
        <f>IF(Programmation!J17&lt;Config!$B$11,Config!$B$11,Programmation!J17)</f>
        <v>0</v>
      </c>
      <c r="J17">
        <f>Programmation!K17</f>
        <v>0</v>
      </c>
      <c r="K17">
        <f>IF(Programmation!L17&gt;95,95,Programmation!L17)</f>
        <v>0</v>
      </c>
      <c r="L17">
        <f>Programmation!M17</f>
        <v>0</v>
      </c>
      <c r="M17">
        <f>Programmation!N17</f>
        <v>0</v>
      </c>
      <c r="N17">
        <f>Programmation!O17</f>
        <v>0</v>
      </c>
      <c r="O17">
        <f>Programmation!P17</f>
        <v>0</v>
      </c>
      <c r="P17">
        <f>Programmation!Q17</f>
        <v>0</v>
      </c>
      <c r="Q17">
        <f>Programmation!R17</f>
        <v>0</v>
      </c>
      <c r="R17">
        <f>Programmation!S17</f>
        <v>0</v>
      </c>
      <c r="S17">
        <f>Programmation!T17</f>
        <v>0</v>
      </c>
      <c r="T17">
        <f>Programmation!U17</f>
        <v>0</v>
      </c>
      <c r="U17">
        <f>Programmation!V17</f>
        <v>0</v>
      </c>
      <c r="V17">
        <f>Programmation!W17</f>
        <v>0</v>
      </c>
      <c r="W17">
        <f>Programmation!X17</f>
        <v>0</v>
      </c>
      <c r="X17">
        <f>Programmation!Y17</f>
        <v>0</v>
      </c>
      <c r="Y17">
        <f>Programmation!Z17</f>
        <v>0</v>
      </c>
      <c r="Z17">
        <f>Programmation!AA17</f>
        <v>0</v>
      </c>
      <c r="AA17">
        <f>Programmation!AB17+Programmation!AC17*2+Programmation!AD17*4+Programmation!AE17*8</f>
        <v>0</v>
      </c>
      <c r="AB17">
        <f>Programmation!AG17</f>
        <v>0</v>
      </c>
      <c r="AC17">
        <f>Programmation!AJ17</f>
        <v>0</v>
      </c>
      <c r="AD17">
        <f>Programmation!AK17</f>
        <v>0</v>
      </c>
      <c r="AE17">
        <f>Programmation!AL17</f>
        <v>0</v>
      </c>
      <c r="AF17">
        <f>Programmation!AM17</f>
        <v>0</v>
      </c>
      <c r="AG17">
        <f>Programmation!AN17</f>
        <v>0</v>
      </c>
      <c r="AH17">
        <f>Programmation!AO17</f>
        <v>0</v>
      </c>
      <c r="AI17">
        <f>Programmation!AP17</f>
        <v>0</v>
      </c>
      <c r="AJ17">
        <f>Programmation!AQ17</f>
        <v>0</v>
      </c>
      <c r="AK17">
        <f>Programmation!AR17</f>
        <v>0</v>
      </c>
      <c r="AL17">
        <f>Programmation!AS17</f>
        <v>0</v>
      </c>
      <c r="AM17">
        <f>Programmation!AT17</f>
        <v>0</v>
      </c>
      <c r="AN17">
        <f>Programmation!AU17</f>
        <v>0</v>
      </c>
      <c r="AO17">
        <f>Programmation!AV17</f>
        <v>0</v>
      </c>
      <c r="AP17">
        <f>Programmation!AW17</f>
        <v>0</v>
      </c>
      <c r="AQ17">
        <f>Programmation!AX17</f>
        <v>0</v>
      </c>
      <c r="AR17">
        <f>Programmation!AY17</f>
        <v>0</v>
      </c>
      <c r="AS17">
        <f>Programmation!AZ17*10</f>
        <v>0</v>
      </c>
      <c r="AT17">
        <f>Programmation!BA17</f>
        <v>0</v>
      </c>
      <c r="AU17">
        <f>Programmation!BB17</f>
        <v>0</v>
      </c>
      <c r="AV17">
        <f>Programmation!BC17</f>
        <v>0</v>
      </c>
      <c r="AW17">
        <f>Programmation!BD17</f>
        <v>0</v>
      </c>
      <c r="AX17">
        <v>10</v>
      </c>
      <c r="AY17">
        <f>611.213+43.53*POWER(Programmation!BP17,1)+1.598*POWER(Programmation!BP17,2)+0.0159*POWER(Programmation!BP17,3)+0.000567*POWER(Programmation!BP17,4)</f>
        <v>0</v>
      </c>
      <c r="AZ17">
        <f>IF(K17=0,0,-241*(LOG10(AY17*K17/100)-2.7887)/((LOG10(AY17*K17/100)-2.7887-7.625)))</f>
        <v>0</v>
      </c>
      <c r="BA17">
        <f>0.622*AY18*K18/(10132500-AY18*K18)*1000</f>
        <v>0</v>
      </c>
      <c r="BB17">
        <v>450</v>
      </c>
      <c r="BC17">
        <v>0</v>
      </c>
      <c r="BD17">
        <v>45</v>
      </c>
      <c r="BE17">
        <v>0</v>
      </c>
      <c r="BF17">
        <f>E48/10</f>
        <v>0</v>
      </c>
      <c r="BG17">
        <f>Programmation!BL17</f>
        <v>0</v>
      </c>
    </row>
    <row r="18" spans="1:59">
      <c r="A18">
        <f>Programmation!A18</f>
        <v>0</v>
      </c>
      <c r="B18">
        <f>Programmation!D18</f>
        <v>0</v>
      </c>
      <c r="C18">
        <f>Programmation!B18</f>
        <v>0</v>
      </c>
      <c r="D18">
        <f>Programmation!C18</f>
        <v>0</v>
      </c>
      <c r="E18">
        <f>Programmation!F18*10</f>
        <v>0</v>
      </c>
      <c r="F18">
        <f>Programmation!G18</f>
        <v>0</v>
      </c>
      <c r="G18">
        <f>IF(Programmation!H18&lt;Config!$B$9,Config!$B$9,Programmation!H18)</f>
        <v>0</v>
      </c>
      <c r="H18">
        <f>IF(Programmation!I18&lt;Config!$B$10,Config!$B$10,Programmation!I18)</f>
        <v>0</v>
      </c>
      <c r="I18">
        <f>IF(Programmation!J18&lt;Config!$B$11,Config!$B$11,Programmation!J18)</f>
        <v>0</v>
      </c>
      <c r="J18">
        <f>Programmation!K18</f>
        <v>0</v>
      </c>
      <c r="K18">
        <f>IF(Programmation!L18&gt;95,95,Programmation!L18)</f>
        <v>0</v>
      </c>
      <c r="L18">
        <f>Programmation!M18</f>
        <v>0</v>
      </c>
      <c r="M18">
        <f>Programmation!N18</f>
        <v>0</v>
      </c>
      <c r="N18">
        <f>Programmation!O18</f>
        <v>0</v>
      </c>
      <c r="O18">
        <f>Programmation!P18</f>
        <v>0</v>
      </c>
      <c r="P18">
        <f>Programmation!Q18</f>
        <v>0</v>
      </c>
      <c r="Q18">
        <f>Programmation!R18</f>
        <v>0</v>
      </c>
      <c r="R18">
        <f>Programmation!S18</f>
        <v>0</v>
      </c>
      <c r="S18">
        <f>Programmation!T18</f>
        <v>0</v>
      </c>
      <c r="T18">
        <f>Programmation!U18</f>
        <v>0</v>
      </c>
      <c r="U18">
        <f>Programmation!V18</f>
        <v>0</v>
      </c>
      <c r="V18">
        <f>Programmation!W18</f>
        <v>0</v>
      </c>
      <c r="W18">
        <f>Programmation!X18</f>
        <v>0</v>
      </c>
      <c r="X18">
        <f>Programmation!Y18</f>
        <v>0</v>
      </c>
      <c r="Y18">
        <f>Programmation!Z18</f>
        <v>0</v>
      </c>
      <c r="Z18">
        <f>Programmation!AA18</f>
        <v>0</v>
      </c>
      <c r="AA18">
        <f>Programmation!AB18+Programmation!AC18*2+Programmation!AD18*4+Programmation!AE18*8</f>
        <v>0</v>
      </c>
      <c r="AB18">
        <f>Programmation!AG18</f>
        <v>0</v>
      </c>
      <c r="AC18">
        <f>Programmation!AJ18</f>
        <v>0</v>
      </c>
      <c r="AD18">
        <f>Programmation!AK18</f>
        <v>0</v>
      </c>
      <c r="AE18">
        <f>Programmation!AL18</f>
        <v>0</v>
      </c>
      <c r="AF18">
        <f>Programmation!AM18</f>
        <v>0</v>
      </c>
      <c r="AG18">
        <f>Programmation!AN18</f>
        <v>0</v>
      </c>
      <c r="AH18">
        <f>Programmation!AO18</f>
        <v>0</v>
      </c>
      <c r="AI18">
        <f>Programmation!AP18</f>
        <v>0</v>
      </c>
      <c r="AJ18">
        <f>Programmation!AQ18</f>
        <v>0</v>
      </c>
      <c r="AK18">
        <f>Programmation!AR18</f>
        <v>0</v>
      </c>
      <c r="AL18">
        <f>Programmation!AS18</f>
        <v>0</v>
      </c>
      <c r="AM18">
        <f>Programmation!AT18</f>
        <v>0</v>
      </c>
      <c r="AN18">
        <f>Programmation!AU18</f>
        <v>0</v>
      </c>
      <c r="AO18">
        <f>Programmation!AV18</f>
        <v>0</v>
      </c>
      <c r="AP18">
        <f>Programmation!AW18</f>
        <v>0</v>
      </c>
      <c r="AQ18">
        <f>Programmation!AX18</f>
        <v>0</v>
      </c>
      <c r="AR18">
        <f>Programmation!AY18</f>
        <v>0</v>
      </c>
      <c r="AS18">
        <f>Programmation!AZ18*10</f>
        <v>0</v>
      </c>
      <c r="AT18">
        <f>Programmation!BA18</f>
        <v>0</v>
      </c>
      <c r="AU18">
        <f>Programmation!BB18</f>
        <v>0</v>
      </c>
      <c r="AV18">
        <f>Programmation!BC18</f>
        <v>0</v>
      </c>
      <c r="AW18">
        <f>Programmation!BD18</f>
        <v>0</v>
      </c>
      <c r="AX18">
        <v>10</v>
      </c>
      <c r="AY18">
        <f>611.213+43.53*POWER(Programmation!BP18,1)+1.598*POWER(Programmation!BP18,2)+0.0159*POWER(Programmation!BP18,3)+0.000567*POWER(Programmation!BP18,4)</f>
        <v>0</v>
      </c>
      <c r="AZ18">
        <f>IF(K18=0,0,-241*(LOG10(AY18*K18/100)-2.7887)/((LOG10(AY18*K18/100)-2.7887-7.625)))</f>
        <v>0</v>
      </c>
      <c r="BA18">
        <f>0.622*AY19*K19/(10132500-AY19*K19)*1000</f>
        <v>0</v>
      </c>
      <c r="BB18">
        <v>450</v>
      </c>
      <c r="BC18">
        <v>0</v>
      </c>
      <c r="BD18">
        <v>45</v>
      </c>
      <c r="BE18">
        <v>0</v>
      </c>
      <c r="BF18">
        <f>E49/10</f>
        <v>0</v>
      </c>
      <c r="BG18">
        <f>Programmation!BL18</f>
        <v>0</v>
      </c>
    </row>
    <row r="19" spans="1:59">
      <c r="A19">
        <f>Programmation!A19</f>
        <v>0</v>
      </c>
      <c r="B19">
        <f>Programmation!D19</f>
        <v>0</v>
      </c>
      <c r="C19">
        <f>Programmation!B19</f>
        <v>0</v>
      </c>
      <c r="D19">
        <f>Programmation!C19</f>
        <v>0</v>
      </c>
      <c r="E19">
        <f>Programmation!F19*10</f>
        <v>0</v>
      </c>
      <c r="F19">
        <f>Programmation!G19</f>
        <v>0</v>
      </c>
      <c r="G19">
        <f>IF(Programmation!H19&lt;Config!$B$9,Config!$B$9,Programmation!H19)</f>
        <v>0</v>
      </c>
      <c r="H19">
        <f>IF(Programmation!I19&lt;Config!$B$10,Config!$B$10,Programmation!I19)</f>
        <v>0</v>
      </c>
      <c r="I19">
        <f>IF(Programmation!J19&lt;Config!$B$11,Config!$B$11,Programmation!J19)</f>
        <v>0</v>
      </c>
      <c r="J19">
        <f>Programmation!K19</f>
        <v>0</v>
      </c>
      <c r="K19">
        <f>IF(Programmation!L19&gt;95,95,Programmation!L19)</f>
        <v>0</v>
      </c>
      <c r="L19">
        <f>Programmation!M19</f>
        <v>0</v>
      </c>
      <c r="M19">
        <f>Programmation!N19</f>
        <v>0</v>
      </c>
      <c r="N19">
        <f>Programmation!O19</f>
        <v>0</v>
      </c>
      <c r="O19">
        <f>Programmation!P19</f>
        <v>0</v>
      </c>
      <c r="P19">
        <f>Programmation!Q19</f>
        <v>0</v>
      </c>
      <c r="Q19">
        <f>Programmation!R19</f>
        <v>0</v>
      </c>
      <c r="R19">
        <f>Programmation!S19</f>
        <v>0</v>
      </c>
      <c r="S19">
        <f>Programmation!T19</f>
        <v>0</v>
      </c>
      <c r="T19">
        <f>Programmation!U19</f>
        <v>0</v>
      </c>
      <c r="U19">
        <f>Programmation!V19</f>
        <v>0</v>
      </c>
      <c r="V19">
        <f>Programmation!W19</f>
        <v>0</v>
      </c>
      <c r="W19">
        <f>Programmation!X19</f>
        <v>0</v>
      </c>
      <c r="X19">
        <f>Programmation!Y19</f>
        <v>0</v>
      </c>
      <c r="Y19">
        <f>Programmation!Z19</f>
        <v>0</v>
      </c>
      <c r="Z19">
        <f>Programmation!AA19</f>
        <v>0</v>
      </c>
      <c r="AA19">
        <f>Programmation!AB19+Programmation!AC19*2+Programmation!AD19*4+Programmation!AE19*8</f>
        <v>0</v>
      </c>
      <c r="AB19">
        <f>Programmation!AG19</f>
        <v>0</v>
      </c>
      <c r="AC19">
        <f>Programmation!AJ19</f>
        <v>0</v>
      </c>
      <c r="AD19">
        <f>Programmation!AK19</f>
        <v>0</v>
      </c>
      <c r="AE19">
        <f>Programmation!AL19</f>
        <v>0</v>
      </c>
      <c r="AF19">
        <f>Programmation!AM19</f>
        <v>0</v>
      </c>
      <c r="AG19">
        <f>Programmation!AN19</f>
        <v>0</v>
      </c>
      <c r="AH19">
        <f>Programmation!AO19</f>
        <v>0</v>
      </c>
      <c r="AI19">
        <f>Programmation!AP19</f>
        <v>0</v>
      </c>
      <c r="AJ19">
        <f>Programmation!AQ19</f>
        <v>0</v>
      </c>
      <c r="AK19">
        <f>Programmation!AR19</f>
        <v>0</v>
      </c>
      <c r="AL19">
        <f>Programmation!AS19</f>
        <v>0</v>
      </c>
      <c r="AM19">
        <f>Programmation!AT19</f>
        <v>0</v>
      </c>
      <c r="AN19">
        <f>Programmation!AU19</f>
        <v>0</v>
      </c>
      <c r="AO19">
        <f>Programmation!AV19</f>
        <v>0</v>
      </c>
      <c r="AP19">
        <f>Programmation!AW19</f>
        <v>0</v>
      </c>
      <c r="AQ19">
        <f>Programmation!AX19</f>
        <v>0</v>
      </c>
      <c r="AR19">
        <f>Programmation!AY19</f>
        <v>0</v>
      </c>
      <c r="AS19">
        <f>Programmation!AZ19*10</f>
        <v>0</v>
      </c>
      <c r="AT19">
        <f>Programmation!BA19</f>
        <v>0</v>
      </c>
      <c r="AU19">
        <f>Programmation!BB19</f>
        <v>0</v>
      </c>
      <c r="AV19">
        <f>Programmation!BC19</f>
        <v>0</v>
      </c>
      <c r="AW19">
        <f>Programmation!BD19</f>
        <v>0</v>
      </c>
      <c r="AX19">
        <v>10</v>
      </c>
      <c r="AY19">
        <f>611.213+43.53*POWER(Programmation!BP19,1)+1.598*POWER(Programmation!BP19,2)+0.0159*POWER(Programmation!BP19,3)+0.000567*POWER(Programmation!BP19,4)</f>
        <v>0</v>
      </c>
      <c r="AZ19">
        <f>IF(K19=0,0,-241*(LOG10(AY19*K19/100)-2.7887)/((LOG10(AY19*K19/100)-2.7887-7.625)))</f>
        <v>0</v>
      </c>
      <c r="BA19">
        <f>0.622*AY20*K20/(10132500-AY20*K20)*1000</f>
        <v>0</v>
      </c>
      <c r="BB19">
        <v>450</v>
      </c>
      <c r="BC19">
        <v>0</v>
      </c>
      <c r="BD19">
        <v>45</v>
      </c>
      <c r="BE19">
        <v>0</v>
      </c>
      <c r="BF19">
        <f>E50/10</f>
        <v>0</v>
      </c>
      <c r="BG19">
        <f>Programmation!BL19</f>
        <v>0</v>
      </c>
    </row>
    <row r="20" spans="1:59">
      <c r="A20">
        <f>Programmation!A20</f>
        <v>0</v>
      </c>
      <c r="B20">
        <f>Programmation!D20</f>
        <v>0</v>
      </c>
      <c r="C20">
        <f>Programmation!B20</f>
        <v>0</v>
      </c>
      <c r="D20">
        <f>Programmation!C20</f>
        <v>0</v>
      </c>
      <c r="E20">
        <f>Programmation!F20*10</f>
        <v>0</v>
      </c>
      <c r="F20">
        <f>Programmation!G20</f>
        <v>0</v>
      </c>
      <c r="G20">
        <f>IF(Programmation!H20&lt;Config!$B$9,Config!$B$9,Programmation!H20)</f>
        <v>0</v>
      </c>
      <c r="H20">
        <f>IF(Programmation!I20&lt;Config!$B$10,Config!$B$10,Programmation!I20)</f>
        <v>0</v>
      </c>
      <c r="I20">
        <f>IF(Programmation!J20&lt;Config!$B$11,Config!$B$11,Programmation!J20)</f>
        <v>0</v>
      </c>
      <c r="J20">
        <f>Programmation!K20</f>
        <v>0</v>
      </c>
      <c r="K20">
        <f>IF(Programmation!L20&gt;95,95,Programmation!L20)</f>
        <v>0</v>
      </c>
      <c r="L20">
        <f>Programmation!M20</f>
        <v>0</v>
      </c>
      <c r="M20">
        <f>Programmation!N20</f>
        <v>0</v>
      </c>
      <c r="N20">
        <f>Programmation!O20</f>
        <v>0</v>
      </c>
      <c r="O20">
        <f>Programmation!P20</f>
        <v>0</v>
      </c>
      <c r="P20">
        <f>Programmation!Q20</f>
        <v>0</v>
      </c>
      <c r="Q20">
        <f>Programmation!R20</f>
        <v>0</v>
      </c>
      <c r="R20">
        <f>Programmation!S20</f>
        <v>0</v>
      </c>
      <c r="S20">
        <f>Programmation!T20</f>
        <v>0</v>
      </c>
      <c r="T20">
        <f>Programmation!U20</f>
        <v>0</v>
      </c>
      <c r="U20">
        <f>Programmation!V20</f>
        <v>0</v>
      </c>
      <c r="V20">
        <f>Programmation!W20</f>
        <v>0</v>
      </c>
      <c r="W20">
        <f>Programmation!X20</f>
        <v>0</v>
      </c>
      <c r="X20">
        <f>Programmation!Y20</f>
        <v>0</v>
      </c>
      <c r="Y20">
        <f>Programmation!Z20</f>
        <v>0</v>
      </c>
      <c r="Z20">
        <f>Programmation!AA20</f>
        <v>0</v>
      </c>
      <c r="AA20">
        <f>Programmation!AB20+Programmation!AC20*2+Programmation!AD20*4+Programmation!AE20*8</f>
        <v>0</v>
      </c>
      <c r="AB20">
        <f>Programmation!AG20</f>
        <v>0</v>
      </c>
      <c r="AC20">
        <f>Programmation!AJ20</f>
        <v>0</v>
      </c>
      <c r="AD20">
        <f>Programmation!AK20</f>
        <v>0</v>
      </c>
      <c r="AE20">
        <f>Programmation!AL20</f>
        <v>0</v>
      </c>
      <c r="AF20">
        <f>Programmation!AM20</f>
        <v>0</v>
      </c>
      <c r="AG20">
        <f>Programmation!AN20</f>
        <v>0</v>
      </c>
      <c r="AH20">
        <f>Programmation!AO20</f>
        <v>0</v>
      </c>
      <c r="AI20">
        <f>Programmation!AP20</f>
        <v>0</v>
      </c>
      <c r="AJ20">
        <f>Programmation!AQ20</f>
        <v>0</v>
      </c>
      <c r="AK20">
        <f>Programmation!AR20</f>
        <v>0</v>
      </c>
      <c r="AL20">
        <f>Programmation!AS20</f>
        <v>0</v>
      </c>
      <c r="AM20">
        <f>Programmation!AT20</f>
        <v>0</v>
      </c>
      <c r="AN20">
        <f>Programmation!AU20</f>
        <v>0</v>
      </c>
      <c r="AO20">
        <f>Programmation!AV20</f>
        <v>0</v>
      </c>
      <c r="AP20">
        <f>Programmation!AW20</f>
        <v>0</v>
      </c>
      <c r="AQ20">
        <f>Programmation!AX20</f>
        <v>0</v>
      </c>
      <c r="AR20">
        <f>Programmation!AY20</f>
        <v>0</v>
      </c>
      <c r="AS20">
        <f>Programmation!AZ20*10</f>
        <v>0</v>
      </c>
      <c r="AT20">
        <f>Programmation!BA20</f>
        <v>0</v>
      </c>
      <c r="AU20">
        <f>Programmation!BB20</f>
        <v>0</v>
      </c>
      <c r="AV20">
        <f>Programmation!BC20</f>
        <v>0</v>
      </c>
      <c r="AW20">
        <f>Programmation!BD20</f>
        <v>0</v>
      </c>
      <c r="AX20">
        <v>10</v>
      </c>
      <c r="AY20">
        <f>611.213+43.53*POWER(Programmation!BP20,1)+1.598*POWER(Programmation!BP20,2)+0.0159*POWER(Programmation!BP20,3)+0.000567*POWER(Programmation!BP20,4)</f>
        <v>0</v>
      </c>
      <c r="AZ20">
        <f>IF(K20=0,0,-241*(LOG10(AY20*K20/100)-2.7887)/((LOG10(AY20*K20/100)-2.7887-7.625)))</f>
        <v>0</v>
      </c>
      <c r="BA20">
        <f>0.622*AY21*K21/(10132500-AY21*K21)*1000</f>
        <v>0</v>
      </c>
      <c r="BB20">
        <v>450</v>
      </c>
      <c r="BC20">
        <v>0</v>
      </c>
      <c r="BD20">
        <v>45</v>
      </c>
      <c r="BE20">
        <v>0</v>
      </c>
      <c r="BF20">
        <f>E51/10</f>
        <v>0</v>
      </c>
      <c r="BG20">
        <f>Programmation!BL20</f>
        <v>0</v>
      </c>
    </row>
    <row r="21" spans="1:59">
      <c r="A21">
        <f>Programmation!A21</f>
        <v>0</v>
      </c>
      <c r="B21">
        <f>Programmation!D21</f>
        <v>0</v>
      </c>
      <c r="C21">
        <f>Programmation!B21</f>
        <v>0</v>
      </c>
      <c r="D21">
        <f>Programmation!C21</f>
        <v>0</v>
      </c>
      <c r="E21">
        <f>Programmation!F21*10</f>
        <v>0</v>
      </c>
      <c r="F21">
        <f>Programmation!G21</f>
        <v>0</v>
      </c>
      <c r="G21">
        <f>IF(Programmation!H21&lt;Config!$B$9,Config!$B$9,Programmation!H21)</f>
        <v>0</v>
      </c>
      <c r="H21">
        <f>IF(Programmation!I21&lt;Config!$B$10,Config!$B$10,Programmation!I21)</f>
        <v>0</v>
      </c>
      <c r="I21">
        <f>IF(Programmation!J21&lt;Config!$B$11,Config!$B$11,Programmation!J21)</f>
        <v>0</v>
      </c>
      <c r="J21">
        <f>Programmation!K21</f>
        <v>0</v>
      </c>
      <c r="K21">
        <f>IF(Programmation!L21&gt;95,95,Programmation!L21)</f>
        <v>0</v>
      </c>
      <c r="L21">
        <f>Programmation!M21</f>
        <v>0</v>
      </c>
      <c r="M21">
        <f>Programmation!N21</f>
        <v>0</v>
      </c>
      <c r="N21">
        <f>Programmation!O21</f>
        <v>0</v>
      </c>
      <c r="O21">
        <f>Programmation!P21</f>
        <v>0</v>
      </c>
      <c r="P21">
        <f>Programmation!Q21</f>
        <v>0</v>
      </c>
      <c r="Q21">
        <f>Programmation!R21</f>
        <v>0</v>
      </c>
      <c r="R21">
        <f>Programmation!S21</f>
        <v>0</v>
      </c>
      <c r="S21">
        <f>Programmation!T21</f>
        <v>0</v>
      </c>
      <c r="T21">
        <f>Programmation!U21</f>
        <v>0</v>
      </c>
      <c r="U21">
        <f>Programmation!V21</f>
        <v>0</v>
      </c>
      <c r="V21">
        <f>Programmation!W21</f>
        <v>0</v>
      </c>
      <c r="W21">
        <f>Programmation!X21</f>
        <v>0</v>
      </c>
      <c r="X21">
        <f>Programmation!Y21</f>
        <v>0</v>
      </c>
      <c r="Y21">
        <f>Programmation!Z21</f>
        <v>0</v>
      </c>
      <c r="Z21">
        <f>Programmation!AA21</f>
        <v>0</v>
      </c>
      <c r="AA21">
        <f>Programmation!AB21+Programmation!AC21*2+Programmation!AD21*4+Programmation!AE21*8</f>
        <v>0</v>
      </c>
      <c r="AB21">
        <f>Programmation!AG21</f>
        <v>0</v>
      </c>
      <c r="AC21">
        <f>Programmation!AJ21</f>
        <v>0</v>
      </c>
      <c r="AD21">
        <f>Programmation!AK21</f>
        <v>0</v>
      </c>
      <c r="AE21">
        <f>Programmation!AL21</f>
        <v>0</v>
      </c>
      <c r="AF21">
        <f>Programmation!AM21</f>
        <v>0</v>
      </c>
      <c r="AG21">
        <f>Programmation!AN21</f>
        <v>0</v>
      </c>
      <c r="AH21">
        <f>Programmation!AO21</f>
        <v>0</v>
      </c>
      <c r="AI21">
        <f>Programmation!AP21</f>
        <v>0</v>
      </c>
      <c r="AJ21">
        <f>Programmation!AQ21</f>
        <v>0</v>
      </c>
      <c r="AK21">
        <f>Programmation!AR21</f>
        <v>0</v>
      </c>
      <c r="AL21">
        <f>Programmation!AS21</f>
        <v>0</v>
      </c>
      <c r="AM21">
        <f>Programmation!AT21</f>
        <v>0</v>
      </c>
      <c r="AN21">
        <f>Programmation!AU21</f>
        <v>0</v>
      </c>
      <c r="AO21">
        <f>Programmation!AV21</f>
        <v>0</v>
      </c>
      <c r="AP21">
        <f>Programmation!AW21</f>
        <v>0</v>
      </c>
      <c r="AQ21">
        <f>Programmation!AX21</f>
        <v>0</v>
      </c>
      <c r="AR21">
        <f>Programmation!AY21</f>
        <v>0</v>
      </c>
      <c r="AS21">
        <f>Programmation!AZ21*10</f>
        <v>0</v>
      </c>
      <c r="AT21">
        <f>Programmation!BA21</f>
        <v>0</v>
      </c>
      <c r="AU21">
        <f>Programmation!BB21</f>
        <v>0</v>
      </c>
      <c r="AV21">
        <f>Programmation!BC21</f>
        <v>0</v>
      </c>
      <c r="AW21">
        <f>Programmation!BD21</f>
        <v>0</v>
      </c>
      <c r="AX21">
        <v>10</v>
      </c>
      <c r="AY21">
        <f>611.213+43.53*POWER(Programmation!BP21,1)+1.598*POWER(Programmation!BP21,2)+0.0159*POWER(Programmation!BP21,3)+0.000567*POWER(Programmation!BP21,4)</f>
        <v>0</v>
      </c>
      <c r="AZ21">
        <f>IF(K21=0,0,-241*(LOG10(AY21*K21/100)-2.7887)/((LOG10(AY21*K21/100)-2.7887-7.625)))</f>
        <v>0</v>
      </c>
      <c r="BA21">
        <f>0.622*AY22*K22/(10132500-AY22*K22)*1000</f>
        <v>0</v>
      </c>
      <c r="BB21">
        <v>450</v>
      </c>
      <c r="BC21">
        <v>0</v>
      </c>
      <c r="BD21">
        <v>45</v>
      </c>
      <c r="BE21">
        <v>0</v>
      </c>
      <c r="BF21">
        <f>E52/10</f>
        <v>0</v>
      </c>
      <c r="BG21">
        <f>Programmation!BL21</f>
        <v>0</v>
      </c>
    </row>
    <row r="22" spans="1:59">
      <c r="A22">
        <f>Programmation!A22</f>
        <v>0</v>
      </c>
      <c r="B22">
        <f>Programmation!D22</f>
        <v>0</v>
      </c>
      <c r="C22">
        <f>Programmation!B22</f>
        <v>0</v>
      </c>
      <c r="D22">
        <f>Programmation!C22</f>
        <v>0</v>
      </c>
      <c r="E22">
        <f>Programmation!F22*10</f>
        <v>0</v>
      </c>
      <c r="F22">
        <f>Programmation!G22</f>
        <v>0</v>
      </c>
      <c r="G22">
        <f>IF(Programmation!H22&lt;Config!$B$9,Config!$B$9,Programmation!H22)</f>
        <v>0</v>
      </c>
      <c r="H22">
        <f>IF(Programmation!I22&lt;Config!$B$10,Config!$B$10,Programmation!I22)</f>
        <v>0</v>
      </c>
      <c r="I22">
        <f>IF(Programmation!J22&lt;Config!$B$11,Config!$B$11,Programmation!J22)</f>
        <v>0</v>
      </c>
      <c r="J22">
        <f>Programmation!K22</f>
        <v>0</v>
      </c>
      <c r="K22">
        <f>IF(Programmation!L22&gt;95,95,Programmation!L22)</f>
        <v>0</v>
      </c>
      <c r="L22">
        <f>Programmation!M22</f>
        <v>0</v>
      </c>
      <c r="M22">
        <f>Programmation!N22</f>
        <v>0</v>
      </c>
      <c r="N22">
        <f>Programmation!O22</f>
        <v>0</v>
      </c>
      <c r="O22">
        <f>Programmation!P22</f>
        <v>0</v>
      </c>
      <c r="P22">
        <f>Programmation!Q22</f>
        <v>0</v>
      </c>
      <c r="Q22">
        <f>Programmation!R22</f>
        <v>0</v>
      </c>
      <c r="R22">
        <f>Programmation!S22</f>
        <v>0</v>
      </c>
      <c r="S22">
        <f>Programmation!T22</f>
        <v>0</v>
      </c>
      <c r="T22">
        <f>Programmation!U22</f>
        <v>0</v>
      </c>
      <c r="U22">
        <f>Programmation!V22</f>
        <v>0</v>
      </c>
      <c r="V22">
        <f>Programmation!W22</f>
        <v>0</v>
      </c>
      <c r="W22">
        <f>Programmation!X22</f>
        <v>0</v>
      </c>
      <c r="X22">
        <f>Programmation!Y22</f>
        <v>0</v>
      </c>
      <c r="Y22">
        <f>Programmation!Z22</f>
        <v>0</v>
      </c>
      <c r="Z22">
        <f>Programmation!AA22</f>
        <v>0</v>
      </c>
      <c r="AA22">
        <f>Programmation!AB22+Programmation!AC22*2+Programmation!AD22*4+Programmation!AE22*8</f>
        <v>0</v>
      </c>
      <c r="AB22">
        <f>Programmation!AG22</f>
        <v>0</v>
      </c>
      <c r="AC22">
        <f>Programmation!AJ22</f>
        <v>0</v>
      </c>
      <c r="AD22">
        <f>Programmation!AK22</f>
        <v>0</v>
      </c>
      <c r="AE22">
        <f>Programmation!AL22</f>
        <v>0</v>
      </c>
      <c r="AF22">
        <f>Programmation!AM22</f>
        <v>0</v>
      </c>
      <c r="AG22">
        <f>Programmation!AN22</f>
        <v>0</v>
      </c>
      <c r="AH22">
        <f>Programmation!AO22</f>
        <v>0</v>
      </c>
      <c r="AI22">
        <f>Programmation!AP22</f>
        <v>0</v>
      </c>
      <c r="AJ22">
        <f>Programmation!AQ22</f>
        <v>0</v>
      </c>
      <c r="AK22">
        <f>Programmation!AR22</f>
        <v>0</v>
      </c>
      <c r="AL22">
        <f>Programmation!AS22</f>
        <v>0</v>
      </c>
      <c r="AM22">
        <f>Programmation!AT22</f>
        <v>0</v>
      </c>
      <c r="AN22">
        <f>Programmation!AU22</f>
        <v>0</v>
      </c>
      <c r="AO22">
        <f>Programmation!AV22</f>
        <v>0</v>
      </c>
      <c r="AP22">
        <f>Programmation!AW22</f>
        <v>0</v>
      </c>
      <c r="AQ22">
        <f>Programmation!AX22</f>
        <v>0</v>
      </c>
      <c r="AR22">
        <f>Programmation!AY22</f>
        <v>0</v>
      </c>
      <c r="AS22">
        <f>Programmation!AZ22*10</f>
        <v>0</v>
      </c>
      <c r="AT22">
        <f>Programmation!BA22</f>
        <v>0</v>
      </c>
      <c r="AU22">
        <f>Programmation!BB22</f>
        <v>0</v>
      </c>
      <c r="AV22">
        <f>Programmation!BC22</f>
        <v>0</v>
      </c>
      <c r="AW22">
        <f>Programmation!BD22</f>
        <v>0</v>
      </c>
      <c r="AX22">
        <v>10</v>
      </c>
      <c r="AY22">
        <f>611.213+43.53*POWER(Programmation!BP22,1)+1.598*POWER(Programmation!BP22,2)+0.0159*POWER(Programmation!BP22,3)+0.000567*POWER(Programmation!BP22,4)</f>
        <v>0</v>
      </c>
      <c r="AZ22">
        <f>IF(K22=0,0,-241*(LOG10(AY22*K22/100)-2.7887)/((LOG10(AY22*K22/100)-2.7887-7.625)))</f>
        <v>0</v>
      </c>
      <c r="BA22">
        <f>0.622*AY23*K23/(10132500-AY23*K23)*1000</f>
        <v>0</v>
      </c>
      <c r="BB22">
        <v>450</v>
      </c>
      <c r="BC22">
        <v>0</v>
      </c>
      <c r="BD22">
        <v>45</v>
      </c>
      <c r="BE22">
        <v>0</v>
      </c>
      <c r="BF22">
        <f>E53/10</f>
        <v>0</v>
      </c>
      <c r="BG22">
        <f>Programmation!BL22</f>
        <v>0</v>
      </c>
    </row>
    <row r="23" spans="1:59">
      <c r="A23">
        <f>Programmation!A23</f>
        <v>0</v>
      </c>
      <c r="B23">
        <f>Programmation!D23</f>
        <v>0</v>
      </c>
      <c r="C23">
        <f>Programmation!B23</f>
        <v>0</v>
      </c>
      <c r="D23">
        <f>Programmation!C23</f>
        <v>0</v>
      </c>
      <c r="E23">
        <f>Programmation!F23*10</f>
        <v>0</v>
      </c>
      <c r="F23">
        <f>Programmation!G23</f>
        <v>0</v>
      </c>
      <c r="G23">
        <f>IF(Programmation!H23&lt;Config!$B$9,Config!$B$9,Programmation!H23)</f>
        <v>0</v>
      </c>
      <c r="H23">
        <f>IF(Programmation!I23&lt;Config!$B$10,Config!$B$10,Programmation!I23)</f>
        <v>0</v>
      </c>
      <c r="I23">
        <f>IF(Programmation!J23&lt;Config!$B$11,Config!$B$11,Programmation!J23)</f>
        <v>0</v>
      </c>
      <c r="J23">
        <f>Programmation!K23</f>
        <v>0</v>
      </c>
      <c r="K23">
        <f>IF(Programmation!L23&gt;95,95,Programmation!L23)</f>
        <v>0</v>
      </c>
      <c r="L23">
        <f>Programmation!M23</f>
        <v>0</v>
      </c>
      <c r="M23">
        <f>Programmation!N23</f>
        <v>0</v>
      </c>
      <c r="N23">
        <f>Programmation!O23</f>
        <v>0</v>
      </c>
      <c r="O23">
        <f>Programmation!P23</f>
        <v>0</v>
      </c>
      <c r="P23">
        <f>Programmation!Q23</f>
        <v>0</v>
      </c>
      <c r="Q23">
        <f>Programmation!R23</f>
        <v>0</v>
      </c>
      <c r="R23">
        <f>Programmation!S23</f>
        <v>0</v>
      </c>
      <c r="S23">
        <f>Programmation!T23</f>
        <v>0</v>
      </c>
      <c r="T23">
        <f>Programmation!U23</f>
        <v>0</v>
      </c>
      <c r="U23">
        <f>Programmation!V23</f>
        <v>0</v>
      </c>
      <c r="V23">
        <f>Programmation!W23</f>
        <v>0</v>
      </c>
      <c r="W23">
        <f>Programmation!X23</f>
        <v>0</v>
      </c>
      <c r="X23">
        <f>Programmation!Y23</f>
        <v>0</v>
      </c>
      <c r="Y23">
        <f>Programmation!Z23</f>
        <v>0</v>
      </c>
      <c r="Z23">
        <f>Programmation!AA23</f>
        <v>0</v>
      </c>
      <c r="AA23">
        <f>Programmation!AB23+Programmation!AC23*2+Programmation!AD23*4+Programmation!AE23*8</f>
        <v>0</v>
      </c>
      <c r="AB23">
        <f>Programmation!AG23</f>
        <v>0</v>
      </c>
      <c r="AC23">
        <f>Programmation!AJ23</f>
        <v>0</v>
      </c>
      <c r="AD23">
        <f>Programmation!AK23</f>
        <v>0</v>
      </c>
      <c r="AE23">
        <f>Programmation!AL23</f>
        <v>0</v>
      </c>
      <c r="AF23">
        <f>Programmation!AM23</f>
        <v>0</v>
      </c>
      <c r="AG23">
        <f>Programmation!AN23</f>
        <v>0</v>
      </c>
      <c r="AH23">
        <f>Programmation!AO23</f>
        <v>0</v>
      </c>
      <c r="AI23">
        <f>Programmation!AP23</f>
        <v>0</v>
      </c>
      <c r="AJ23">
        <f>Programmation!AQ23</f>
        <v>0</v>
      </c>
      <c r="AK23">
        <f>Programmation!AR23</f>
        <v>0</v>
      </c>
      <c r="AL23">
        <f>Programmation!AS23</f>
        <v>0</v>
      </c>
      <c r="AM23">
        <f>Programmation!AT23</f>
        <v>0</v>
      </c>
      <c r="AN23">
        <f>Programmation!AU23</f>
        <v>0</v>
      </c>
      <c r="AO23">
        <f>Programmation!AV23</f>
        <v>0</v>
      </c>
      <c r="AP23">
        <f>Programmation!AW23</f>
        <v>0</v>
      </c>
      <c r="AQ23">
        <f>Programmation!AX23</f>
        <v>0</v>
      </c>
      <c r="AR23">
        <f>Programmation!AY23</f>
        <v>0</v>
      </c>
      <c r="AS23">
        <f>Programmation!AZ23*10</f>
        <v>0</v>
      </c>
      <c r="AT23">
        <f>Programmation!BA23</f>
        <v>0</v>
      </c>
      <c r="AU23">
        <f>Programmation!BB23</f>
        <v>0</v>
      </c>
      <c r="AV23">
        <f>Programmation!BC23</f>
        <v>0</v>
      </c>
      <c r="AW23">
        <f>Programmation!BD23</f>
        <v>0</v>
      </c>
      <c r="AX23">
        <v>10</v>
      </c>
      <c r="AY23">
        <f>611.213+43.53*POWER(Programmation!BP23,1)+1.598*POWER(Programmation!BP23,2)+0.0159*POWER(Programmation!BP23,3)+0.000567*POWER(Programmation!BP23,4)</f>
        <v>0</v>
      </c>
      <c r="AZ23">
        <f>IF(K23=0,0,-241*(LOG10(AY23*K23/100)-2.7887)/((LOG10(AY23*K23/100)-2.7887-7.625)))</f>
        <v>0</v>
      </c>
      <c r="BA23">
        <f>0.622*AY24*K24/(10132500-AY24*K24)*1000</f>
        <v>0</v>
      </c>
      <c r="BB23">
        <v>450</v>
      </c>
      <c r="BC23">
        <v>0</v>
      </c>
      <c r="BD23">
        <v>45</v>
      </c>
      <c r="BE23">
        <v>0</v>
      </c>
      <c r="BF23">
        <f>E54/10</f>
        <v>0</v>
      </c>
      <c r="BG23">
        <f>Programmation!BL23</f>
        <v>0</v>
      </c>
    </row>
    <row r="24" spans="1:59">
      <c r="A24">
        <f>Programmation!A24</f>
        <v>0</v>
      </c>
      <c r="B24">
        <f>Programmation!D24</f>
        <v>0</v>
      </c>
      <c r="C24">
        <f>Programmation!B24</f>
        <v>0</v>
      </c>
      <c r="D24">
        <f>Programmation!C24</f>
        <v>0</v>
      </c>
      <c r="E24">
        <f>Programmation!F24*10</f>
        <v>0</v>
      </c>
      <c r="F24">
        <f>Programmation!G24</f>
        <v>0</v>
      </c>
      <c r="G24">
        <f>IF(Programmation!H24&lt;Config!$B$9,Config!$B$9,Programmation!H24)</f>
        <v>0</v>
      </c>
      <c r="H24">
        <f>IF(Programmation!I24&lt;Config!$B$10,Config!$B$10,Programmation!I24)</f>
        <v>0</v>
      </c>
      <c r="I24">
        <f>IF(Programmation!J24&lt;Config!$B$11,Config!$B$11,Programmation!J24)</f>
        <v>0</v>
      </c>
      <c r="J24">
        <f>Programmation!K24</f>
        <v>0</v>
      </c>
      <c r="K24">
        <f>IF(Programmation!L24&gt;95,95,Programmation!L24)</f>
        <v>0</v>
      </c>
      <c r="L24">
        <f>Programmation!M24</f>
        <v>0</v>
      </c>
      <c r="M24">
        <f>Programmation!N24</f>
        <v>0</v>
      </c>
      <c r="N24">
        <f>Programmation!O24</f>
        <v>0</v>
      </c>
      <c r="O24">
        <f>Programmation!P24</f>
        <v>0</v>
      </c>
      <c r="P24">
        <f>Programmation!Q24</f>
        <v>0</v>
      </c>
      <c r="Q24">
        <f>Programmation!R24</f>
        <v>0</v>
      </c>
      <c r="R24">
        <f>Programmation!S24</f>
        <v>0</v>
      </c>
      <c r="S24">
        <f>Programmation!T24</f>
        <v>0</v>
      </c>
      <c r="T24">
        <f>Programmation!U24</f>
        <v>0</v>
      </c>
      <c r="U24">
        <f>Programmation!V24</f>
        <v>0</v>
      </c>
      <c r="V24">
        <f>Programmation!W24</f>
        <v>0</v>
      </c>
      <c r="W24">
        <f>Programmation!X24</f>
        <v>0</v>
      </c>
      <c r="X24">
        <f>Programmation!Y24</f>
        <v>0</v>
      </c>
      <c r="Y24">
        <f>Programmation!Z24</f>
        <v>0</v>
      </c>
      <c r="Z24">
        <f>Programmation!AA24</f>
        <v>0</v>
      </c>
      <c r="AA24">
        <f>Programmation!AB24+Programmation!AC24*2+Programmation!AD24*4+Programmation!AE24*8</f>
        <v>0</v>
      </c>
      <c r="AB24">
        <f>Programmation!AG24</f>
        <v>0</v>
      </c>
      <c r="AC24">
        <f>Programmation!AJ24</f>
        <v>0</v>
      </c>
      <c r="AD24">
        <f>Programmation!AK24</f>
        <v>0</v>
      </c>
      <c r="AE24">
        <f>Programmation!AL24</f>
        <v>0</v>
      </c>
      <c r="AF24">
        <f>Programmation!AM24</f>
        <v>0</v>
      </c>
      <c r="AG24">
        <f>Programmation!AN24</f>
        <v>0</v>
      </c>
      <c r="AH24">
        <f>Programmation!AO24</f>
        <v>0</v>
      </c>
      <c r="AI24">
        <f>Programmation!AP24</f>
        <v>0</v>
      </c>
      <c r="AJ24">
        <f>Programmation!AQ24</f>
        <v>0</v>
      </c>
      <c r="AK24">
        <f>Programmation!AR24</f>
        <v>0</v>
      </c>
      <c r="AL24">
        <f>Programmation!AS24</f>
        <v>0</v>
      </c>
      <c r="AM24">
        <f>Programmation!AT24</f>
        <v>0</v>
      </c>
      <c r="AN24">
        <f>Programmation!AU24</f>
        <v>0</v>
      </c>
      <c r="AO24">
        <f>Programmation!AV24</f>
        <v>0</v>
      </c>
      <c r="AP24">
        <f>Programmation!AW24</f>
        <v>0</v>
      </c>
      <c r="AQ24">
        <f>Programmation!AX24</f>
        <v>0</v>
      </c>
      <c r="AR24">
        <f>Programmation!AY24</f>
        <v>0</v>
      </c>
      <c r="AS24">
        <f>Programmation!AZ24*10</f>
        <v>0</v>
      </c>
      <c r="AT24">
        <f>Programmation!BA24</f>
        <v>0</v>
      </c>
      <c r="AU24">
        <f>Programmation!BB24</f>
        <v>0</v>
      </c>
      <c r="AV24">
        <f>Programmation!BC24</f>
        <v>0</v>
      </c>
      <c r="AW24">
        <f>Programmation!BD24</f>
        <v>0</v>
      </c>
      <c r="AX24">
        <v>10</v>
      </c>
      <c r="AY24">
        <f>611.213+43.53*POWER(Programmation!BP24,1)+1.598*POWER(Programmation!BP24,2)+0.0159*POWER(Programmation!BP24,3)+0.000567*POWER(Programmation!BP24,4)</f>
        <v>0</v>
      </c>
      <c r="AZ24">
        <f>IF(K24=0,0,-241*(LOG10(AY24*K24/100)-2.7887)/((LOG10(AY24*K24/100)-2.7887-7.625)))</f>
        <v>0</v>
      </c>
      <c r="BA24">
        <f>0.622*AY25*K25/(10132500-AY25*K25)*1000</f>
        <v>0</v>
      </c>
      <c r="BB24">
        <v>450</v>
      </c>
      <c r="BC24">
        <v>0</v>
      </c>
      <c r="BD24">
        <v>45</v>
      </c>
      <c r="BE24">
        <v>0</v>
      </c>
      <c r="BF24">
        <f>E55/10</f>
        <v>0</v>
      </c>
      <c r="BG24">
        <f>Programmation!BL24</f>
        <v>0</v>
      </c>
    </row>
    <row r="25" spans="1:59">
      <c r="A25">
        <f>Programmation!A25</f>
        <v>0</v>
      </c>
      <c r="B25">
        <f>Programmation!D25</f>
        <v>0</v>
      </c>
      <c r="C25">
        <f>Programmation!B25</f>
        <v>0</v>
      </c>
      <c r="D25">
        <f>Programmation!C25</f>
        <v>0</v>
      </c>
      <c r="E25">
        <f>Programmation!F25*10</f>
        <v>0</v>
      </c>
      <c r="F25">
        <f>Programmation!G25</f>
        <v>0</v>
      </c>
      <c r="G25">
        <f>IF(Programmation!H25&lt;Config!$B$9,Config!$B$9,Programmation!H25)</f>
        <v>0</v>
      </c>
      <c r="H25">
        <f>IF(Programmation!I25&lt;Config!$B$10,Config!$B$10,Programmation!I25)</f>
        <v>0</v>
      </c>
      <c r="I25">
        <f>IF(Programmation!J25&lt;Config!$B$11,Config!$B$11,Programmation!J25)</f>
        <v>0</v>
      </c>
      <c r="J25">
        <f>Programmation!K25</f>
        <v>0</v>
      </c>
      <c r="K25">
        <f>IF(Programmation!L25&gt;95,95,Programmation!L25)</f>
        <v>0</v>
      </c>
      <c r="L25">
        <f>Programmation!M25</f>
        <v>0</v>
      </c>
      <c r="M25">
        <f>Programmation!N25</f>
        <v>0</v>
      </c>
      <c r="N25">
        <f>Programmation!O25</f>
        <v>0</v>
      </c>
      <c r="O25">
        <f>Programmation!P25</f>
        <v>0</v>
      </c>
      <c r="P25">
        <f>Programmation!Q25</f>
        <v>0</v>
      </c>
      <c r="Q25">
        <f>Programmation!R25</f>
        <v>0</v>
      </c>
      <c r="R25">
        <f>Programmation!S25</f>
        <v>0</v>
      </c>
      <c r="S25">
        <f>Programmation!T25</f>
        <v>0</v>
      </c>
      <c r="T25">
        <f>Programmation!U25</f>
        <v>0</v>
      </c>
      <c r="U25">
        <f>Programmation!V25</f>
        <v>0</v>
      </c>
      <c r="V25">
        <f>Programmation!W25</f>
        <v>0</v>
      </c>
      <c r="W25">
        <f>Programmation!X25</f>
        <v>0</v>
      </c>
      <c r="X25">
        <f>Programmation!Y25</f>
        <v>0</v>
      </c>
      <c r="Y25">
        <f>Programmation!Z25</f>
        <v>0</v>
      </c>
      <c r="Z25">
        <f>Programmation!AA25</f>
        <v>0</v>
      </c>
      <c r="AA25">
        <f>Programmation!AB25+Programmation!AC25*2+Programmation!AD25*4+Programmation!AE25*8</f>
        <v>0</v>
      </c>
      <c r="AB25">
        <f>Programmation!AG25</f>
        <v>0</v>
      </c>
      <c r="AC25">
        <f>Programmation!AJ25</f>
        <v>0</v>
      </c>
      <c r="AD25">
        <f>Programmation!AK25</f>
        <v>0</v>
      </c>
      <c r="AE25">
        <f>Programmation!AL25</f>
        <v>0</v>
      </c>
      <c r="AF25">
        <f>Programmation!AM25</f>
        <v>0</v>
      </c>
      <c r="AG25">
        <f>Programmation!AN25</f>
        <v>0</v>
      </c>
      <c r="AH25">
        <f>Programmation!AO25</f>
        <v>0</v>
      </c>
      <c r="AI25">
        <f>Programmation!AP25</f>
        <v>0</v>
      </c>
      <c r="AJ25">
        <f>Programmation!AQ25</f>
        <v>0</v>
      </c>
      <c r="AK25">
        <f>Programmation!AR25</f>
        <v>0</v>
      </c>
      <c r="AL25">
        <f>Programmation!AS25</f>
        <v>0</v>
      </c>
      <c r="AM25">
        <f>Programmation!AT25</f>
        <v>0</v>
      </c>
      <c r="AN25">
        <f>Programmation!AU25</f>
        <v>0</v>
      </c>
      <c r="AO25">
        <f>Programmation!AV25</f>
        <v>0</v>
      </c>
      <c r="AP25">
        <f>Programmation!AW25</f>
        <v>0</v>
      </c>
      <c r="AQ25">
        <f>Programmation!AX25</f>
        <v>0</v>
      </c>
      <c r="AR25">
        <f>Programmation!AY25</f>
        <v>0</v>
      </c>
      <c r="AS25">
        <f>Programmation!AZ25*10</f>
        <v>0</v>
      </c>
      <c r="AT25">
        <f>Programmation!BA25</f>
        <v>0</v>
      </c>
      <c r="AU25">
        <f>Programmation!BB25</f>
        <v>0</v>
      </c>
      <c r="AV25">
        <f>Programmation!BC25</f>
        <v>0</v>
      </c>
      <c r="AW25">
        <f>Programmation!BD25</f>
        <v>0</v>
      </c>
      <c r="AX25">
        <v>10</v>
      </c>
      <c r="AY25">
        <f>611.213+43.53*POWER(Programmation!BP25,1)+1.598*POWER(Programmation!BP25,2)+0.0159*POWER(Programmation!BP25,3)+0.000567*POWER(Programmation!BP25,4)</f>
        <v>0</v>
      </c>
      <c r="AZ25">
        <f>IF(K25=0,0,-241*(LOG10(AY25*K25/100)-2.7887)/((LOG10(AY25*K25/100)-2.7887-7.625)))</f>
        <v>0</v>
      </c>
      <c r="BA25">
        <f>0.622*AY26*K26/(10132500-AY26*K26)*1000</f>
        <v>0</v>
      </c>
      <c r="BB25">
        <v>450</v>
      </c>
      <c r="BC25">
        <v>0</v>
      </c>
      <c r="BD25">
        <v>45</v>
      </c>
      <c r="BE25">
        <v>0</v>
      </c>
      <c r="BF25">
        <f>E56/10</f>
        <v>0</v>
      </c>
      <c r="BG25">
        <f>Programmation!BL25</f>
        <v>0</v>
      </c>
    </row>
    <row r="26" spans="1:59">
      <c r="A26">
        <f>Programmation!A26</f>
        <v>0</v>
      </c>
      <c r="B26">
        <f>Programmation!D26</f>
        <v>0</v>
      </c>
      <c r="C26">
        <f>Programmation!B26</f>
        <v>0</v>
      </c>
      <c r="D26">
        <f>Programmation!C26</f>
        <v>0</v>
      </c>
      <c r="E26">
        <f>Programmation!F26*10</f>
        <v>0</v>
      </c>
      <c r="F26">
        <f>Programmation!G26</f>
        <v>0</v>
      </c>
      <c r="G26">
        <f>IF(Programmation!H26&lt;Config!$B$9,Config!$B$9,Programmation!H26)</f>
        <v>0</v>
      </c>
      <c r="H26">
        <f>IF(Programmation!I26&lt;Config!$B$10,Config!$B$10,Programmation!I26)</f>
        <v>0</v>
      </c>
      <c r="I26">
        <f>IF(Programmation!J26&lt;Config!$B$11,Config!$B$11,Programmation!J26)</f>
        <v>0</v>
      </c>
      <c r="J26">
        <f>Programmation!K26</f>
        <v>0</v>
      </c>
      <c r="K26">
        <f>IF(Programmation!L26&gt;95,95,Programmation!L26)</f>
        <v>0</v>
      </c>
      <c r="L26">
        <f>Programmation!M26</f>
        <v>0</v>
      </c>
      <c r="M26">
        <f>Programmation!N26</f>
        <v>0</v>
      </c>
      <c r="N26">
        <f>Programmation!O26</f>
        <v>0</v>
      </c>
      <c r="O26">
        <f>Programmation!P26</f>
        <v>0</v>
      </c>
      <c r="P26">
        <f>Programmation!Q26</f>
        <v>0</v>
      </c>
      <c r="Q26">
        <f>Programmation!R26</f>
        <v>0</v>
      </c>
      <c r="R26">
        <f>Programmation!S26</f>
        <v>0</v>
      </c>
      <c r="S26">
        <f>Programmation!T26</f>
        <v>0</v>
      </c>
      <c r="T26">
        <f>Programmation!U26</f>
        <v>0</v>
      </c>
      <c r="U26">
        <f>Programmation!V26</f>
        <v>0</v>
      </c>
      <c r="V26">
        <f>Programmation!W26</f>
        <v>0</v>
      </c>
      <c r="W26">
        <f>Programmation!X26</f>
        <v>0</v>
      </c>
      <c r="X26">
        <f>Programmation!Y26</f>
        <v>0</v>
      </c>
      <c r="Y26">
        <f>Programmation!Z26</f>
        <v>0</v>
      </c>
      <c r="Z26">
        <f>Programmation!AA26</f>
        <v>0</v>
      </c>
      <c r="AA26">
        <f>Programmation!AB26+Programmation!AC26*2+Programmation!AD26*4+Programmation!AE26*8</f>
        <v>0</v>
      </c>
      <c r="AB26">
        <f>Programmation!AG26</f>
        <v>0</v>
      </c>
      <c r="AC26">
        <f>Programmation!AJ26</f>
        <v>0</v>
      </c>
      <c r="AD26">
        <f>Programmation!AK26</f>
        <v>0</v>
      </c>
      <c r="AE26">
        <f>Programmation!AL26</f>
        <v>0</v>
      </c>
      <c r="AF26">
        <f>Programmation!AM26</f>
        <v>0</v>
      </c>
      <c r="AG26">
        <f>Programmation!AN26</f>
        <v>0</v>
      </c>
      <c r="AH26">
        <f>Programmation!AO26</f>
        <v>0</v>
      </c>
      <c r="AI26">
        <f>Programmation!AP26</f>
        <v>0</v>
      </c>
      <c r="AJ26">
        <f>Programmation!AQ26</f>
        <v>0</v>
      </c>
      <c r="AK26">
        <f>Programmation!AR26</f>
        <v>0</v>
      </c>
      <c r="AL26">
        <f>Programmation!AS26</f>
        <v>0</v>
      </c>
      <c r="AM26">
        <f>Programmation!AT26</f>
        <v>0</v>
      </c>
      <c r="AN26">
        <f>Programmation!AU26</f>
        <v>0</v>
      </c>
      <c r="AO26">
        <f>Programmation!AV26</f>
        <v>0</v>
      </c>
      <c r="AP26">
        <f>Programmation!AW26</f>
        <v>0</v>
      </c>
      <c r="AQ26">
        <f>Programmation!AX26</f>
        <v>0</v>
      </c>
      <c r="AR26">
        <f>Programmation!AY26</f>
        <v>0</v>
      </c>
      <c r="AS26">
        <f>Programmation!AZ26*10</f>
        <v>0</v>
      </c>
      <c r="AT26">
        <f>Programmation!BA26</f>
        <v>0</v>
      </c>
      <c r="AU26">
        <f>Programmation!BB26</f>
        <v>0</v>
      </c>
      <c r="AV26">
        <f>Programmation!BC26</f>
        <v>0</v>
      </c>
      <c r="AW26">
        <f>Programmation!BD26</f>
        <v>0</v>
      </c>
      <c r="AX26">
        <v>10</v>
      </c>
      <c r="AY26">
        <f>611.213+43.53*POWER(Programmation!BP26,1)+1.598*POWER(Programmation!BP26,2)+0.0159*POWER(Programmation!BP26,3)+0.000567*POWER(Programmation!BP26,4)</f>
        <v>0</v>
      </c>
      <c r="AZ26">
        <f>IF(K26=0,0,-241*(LOG10(AY26*K26/100)-2.7887)/((LOG10(AY26*K26/100)-2.7887-7.625)))</f>
        <v>0</v>
      </c>
      <c r="BA26">
        <f>0.622*AY27*K27/(10132500-AY27*K27)*1000</f>
        <v>0</v>
      </c>
      <c r="BB26">
        <v>450</v>
      </c>
      <c r="BC26">
        <v>0</v>
      </c>
      <c r="BD26">
        <v>45</v>
      </c>
      <c r="BE26">
        <v>0</v>
      </c>
      <c r="BF26">
        <f>E57/10</f>
        <v>0</v>
      </c>
      <c r="BG26">
        <f>Programmation!BL26</f>
        <v>0</v>
      </c>
    </row>
    <row r="27" spans="1:59">
      <c r="A27">
        <f>Programmation!A27</f>
        <v>0</v>
      </c>
      <c r="B27">
        <f>Programmation!D27</f>
        <v>0</v>
      </c>
      <c r="C27">
        <f>Programmation!B27</f>
        <v>0</v>
      </c>
      <c r="D27">
        <f>Programmation!C27</f>
        <v>0</v>
      </c>
      <c r="E27">
        <f>Programmation!F27*10</f>
        <v>0</v>
      </c>
      <c r="F27">
        <f>Programmation!G27</f>
        <v>0</v>
      </c>
      <c r="G27">
        <f>IF(Programmation!H27&lt;Config!$B$9,Config!$B$9,Programmation!H27)</f>
        <v>0</v>
      </c>
      <c r="H27">
        <f>IF(Programmation!I27&lt;Config!$B$10,Config!$B$10,Programmation!I27)</f>
        <v>0</v>
      </c>
      <c r="I27">
        <f>IF(Programmation!J27&lt;Config!$B$11,Config!$B$11,Programmation!J27)</f>
        <v>0</v>
      </c>
      <c r="J27">
        <f>Programmation!K27</f>
        <v>0</v>
      </c>
      <c r="K27">
        <f>IF(Programmation!L27&gt;95,95,Programmation!L27)</f>
        <v>0</v>
      </c>
      <c r="L27">
        <f>Programmation!M27</f>
        <v>0</v>
      </c>
      <c r="M27">
        <f>Programmation!N27</f>
        <v>0</v>
      </c>
      <c r="N27">
        <f>Programmation!O27</f>
        <v>0</v>
      </c>
      <c r="O27">
        <f>Programmation!P27</f>
        <v>0</v>
      </c>
      <c r="P27">
        <f>Programmation!Q27</f>
        <v>0</v>
      </c>
      <c r="Q27">
        <f>Programmation!R27</f>
        <v>0</v>
      </c>
      <c r="R27">
        <f>Programmation!S27</f>
        <v>0</v>
      </c>
      <c r="S27">
        <f>Programmation!T27</f>
        <v>0</v>
      </c>
      <c r="T27">
        <f>Programmation!U27</f>
        <v>0</v>
      </c>
      <c r="U27">
        <f>Programmation!V27</f>
        <v>0</v>
      </c>
      <c r="V27">
        <f>Programmation!W27</f>
        <v>0</v>
      </c>
      <c r="W27">
        <f>Programmation!X27</f>
        <v>0</v>
      </c>
      <c r="X27">
        <f>Programmation!Y27</f>
        <v>0</v>
      </c>
      <c r="Y27">
        <f>Programmation!Z27</f>
        <v>0</v>
      </c>
      <c r="Z27">
        <f>Programmation!AA27</f>
        <v>0</v>
      </c>
      <c r="AA27">
        <f>Programmation!AB27+Programmation!AC27*2+Programmation!AD27*4+Programmation!AE27*8</f>
        <v>0</v>
      </c>
      <c r="AB27">
        <f>Programmation!AG27</f>
        <v>0</v>
      </c>
      <c r="AC27">
        <f>Programmation!AJ27</f>
        <v>0</v>
      </c>
      <c r="AD27">
        <f>Programmation!AK27</f>
        <v>0</v>
      </c>
      <c r="AE27">
        <f>Programmation!AL27</f>
        <v>0</v>
      </c>
      <c r="AF27">
        <f>Programmation!AM27</f>
        <v>0</v>
      </c>
      <c r="AG27">
        <f>Programmation!AN27</f>
        <v>0</v>
      </c>
      <c r="AH27">
        <f>Programmation!AO27</f>
        <v>0</v>
      </c>
      <c r="AI27">
        <f>Programmation!AP27</f>
        <v>0</v>
      </c>
      <c r="AJ27">
        <f>Programmation!AQ27</f>
        <v>0</v>
      </c>
      <c r="AK27">
        <f>Programmation!AR27</f>
        <v>0</v>
      </c>
      <c r="AL27">
        <f>Programmation!AS27</f>
        <v>0</v>
      </c>
      <c r="AM27">
        <f>Programmation!AT27</f>
        <v>0</v>
      </c>
      <c r="AN27">
        <f>Programmation!AU27</f>
        <v>0</v>
      </c>
      <c r="AO27">
        <f>Programmation!AV27</f>
        <v>0</v>
      </c>
      <c r="AP27">
        <f>Programmation!AW27</f>
        <v>0</v>
      </c>
      <c r="AQ27">
        <f>Programmation!AX27</f>
        <v>0</v>
      </c>
      <c r="AR27">
        <f>Programmation!AY27</f>
        <v>0</v>
      </c>
      <c r="AS27">
        <f>Programmation!AZ27*10</f>
        <v>0</v>
      </c>
      <c r="AT27">
        <f>Programmation!BA27</f>
        <v>0</v>
      </c>
      <c r="AU27">
        <f>Programmation!BB27</f>
        <v>0</v>
      </c>
      <c r="AV27">
        <f>Programmation!BC27</f>
        <v>0</v>
      </c>
      <c r="AW27">
        <f>Programmation!BD27</f>
        <v>0</v>
      </c>
      <c r="AX27">
        <v>10</v>
      </c>
      <c r="AY27">
        <f>611.213+43.53*POWER(Programmation!BP27,1)+1.598*POWER(Programmation!BP27,2)+0.0159*POWER(Programmation!BP27,3)+0.000567*POWER(Programmation!BP27,4)</f>
        <v>0</v>
      </c>
      <c r="AZ27">
        <f>IF(K27=0,0,-241*(LOG10(AY27*K27/100)-2.7887)/((LOG10(AY27*K27/100)-2.7887-7.625)))</f>
        <v>0</v>
      </c>
      <c r="BA27">
        <f>0.622*AY28*K28/(10132500-AY28*K28)*1000</f>
        <v>0</v>
      </c>
      <c r="BB27">
        <v>450</v>
      </c>
      <c r="BC27">
        <v>0</v>
      </c>
      <c r="BD27">
        <v>45</v>
      </c>
      <c r="BE27">
        <v>0</v>
      </c>
      <c r="BF27">
        <f>E58/10</f>
        <v>0</v>
      </c>
      <c r="BG27">
        <f>Programmation!BL27</f>
        <v>0</v>
      </c>
    </row>
    <row r="28" spans="1:59">
      <c r="A28">
        <f>Programmation!A28</f>
        <v>0</v>
      </c>
      <c r="B28">
        <f>Programmation!D28</f>
        <v>0</v>
      </c>
      <c r="C28">
        <f>Programmation!B28</f>
        <v>0</v>
      </c>
      <c r="D28">
        <f>Programmation!C28</f>
        <v>0</v>
      </c>
      <c r="E28">
        <f>Programmation!F28*10</f>
        <v>0</v>
      </c>
      <c r="F28">
        <f>Programmation!G28</f>
        <v>0</v>
      </c>
      <c r="G28">
        <f>IF(Programmation!H28&lt;Config!$B$9,Config!$B$9,Programmation!H28)</f>
        <v>0</v>
      </c>
      <c r="H28">
        <f>IF(Programmation!I28&lt;Config!$B$10,Config!$B$10,Programmation!I28)</f>
        <v>0</v>
      </c>
      <c r="I28">
        <f>IF(Programmation!J28&lt;Config!$B$11,Config!$B$11,Programmation!J28)</f>
        <v>0</v>
      </c>
      <c r="J28">
        <f>Programmation!K28</f>
        <v>0</v>
      </c>
      <c r="K28">
        <f>IF(Programmation!L28&gt;95,95,Programmation!L28)</f>
        <v>0</v>
      </c>
      <c r="L28">
        <f>Programmation!M28</f>
        <v>0</v>
      </c>
      <c r="M28">
        <f>Programmation!N28</f>
        <v>0</v>
      </c>
      <c r="N28">
        <f>Programmation!O28</f>
        <v>0</v>
      </c>
      <c r="O28">
        <f>Programmation!P28</f>
        <v>0</v>
      </c>
      <c r="P28">
        <f>Programmation!Q28</f>
        <v>0</v>
      </c>
      <c r="Q28">
        <f>Programmation!R28</f>
        <v>0</v>
      </c>
      <c r="R28">
        <f>Programmation!S28</f>
        <v>0</v>
      </c>
      <c r="S28">
        <f>Programmation!T28</f>
        <v>0</v>
      </c>
      <c r="T28">
        <f>Programmation!U28</f>
        <v>0</v>
      </c>
      <c r="U28">
        <f>Programmation!V28</f>
        <v>0</v>
      </c>
      <c r="V28">
        <f>Programmation!W28</f>
        <v>0</v>
      </c>
      <c r="W28">
        <f>Programmation!X28</f>
        <v>0</v>
      </c>
      <c r="X28">
        <f>Programmation!Y28</f>
        <v>0</v>
      </c>
      <c r="Y28">
        <f>Programmation!Z28</f>
        <v>0</v>
      </c>
      <c r="Z28">
        <f>Programmation!AA28</f>
        <v>0</v>
      </c>
      <c r="AA28">
        <f>Programmation!AB28+Programmation!AC28*2+Programmation!AD28*4+Programmation!AE28*8</f>
        <v>0</v>
      </c>
      <c r="AB28">
        <f>Programmation!AG28</f>
        <v>0</v>
      </c>
      <c r="AC28">
        <f>Programmation!AJ28</f>
        <v>0</v>
      </c>
      <c r="AD28">
        <f>Programmation!AK28</f>
        <v>0</v>
      </c>
      <c r="AE28">
        <f>Programmation!AL28</f>
        <v>0</v>
      </c>
      <c r="AF28">
        <f>Programmation!AM28</f>
        <v>0</v>
      </c>
      <c r="AG28">
        <f>Programmation!AN28</f>
        <v>0</v>
      </c>
      <c r="AH28">
        <f>Programmation!AO28</f>
        <v>0</v>
      </c>
      <c r="AI28">
        <f>Programmation!AP28</f>
        <v>0</v>
      </c>
      <c r="AJ28">
        <f>Programmation!AQ28</f>
        <v>0</v>
      </c>
      <c r="AK28">
        <f>Programmation!AR28</f>
        <v>0</v>
      </c>
      <c r="AL28">
        <f>Programmation!AS28</f>
        <v>0</v>
      </c>
      <c r="AM28">
        <f>Programmation!AT28</f>
        <v>0</v>
      </c>
      <c r="AN28">
        <f>Programmation!AU28</f>
        <v>0</v>
      </c>
      <c r="AO28">
        <f>Programmation!AV28</f>
        <v>0</v>
      </c>
      <c r="AP28">
        <f>Programmation!AW28</f>
        <v>0</v>
      </c>
      <c r="AQ28">
        <f>Programmation!AX28</f>
        <v>0</v>
      </c>
      <c r="AR28">
        <f>Programmation!AY28</f>
        <v>0</v>
      </c>
      <c r="AS28">
        <f>Programmation!AZ28*10</f>
        <v>0</v>
      </c>
      <c r="AT28">
        <f>Programmation!BA28</f>
        <v>0</v>
      </c>
      <c r="AU28">
        <f>Programmation!BB28</f>
        <v>0</v>
      </c>
      <c r="AV28">
        <f>Programmation!BC28</f>
        <v>0</v>
      </c>
      <c r="AW28">
        <f>Programmation!BD28</f>
        <v>0</v>
      </c>
      <c r="AX28">
        <v>10</v>
      </c>
      <c r="AY28">
        <f>611.213+43.53*POWER(Programmation!BP28,1)+1.598*POWER(Programmation!BP28,2)+0.0159*POWER(Programmation!BP28,3)+0.000567*POWER(Programmation!BP28,4)</f>
        <v>0</v>
      </c>
      <c r="AZ28">
        <f>IF(K28=0,0,-241*(LOG10(AY28*K28/100)-2.7887)/((LOG10(AY28*K28/100)-2.7887-7.625)))</f>
        <v>0</v>
      </c>
      <c r="BA28">
        <f>0.622*AY29*K29/(10132500-AY29*K29)*1000</f>
        <v>0</v>
      </c>
      <c r="BB28">
        <v>450</v>
      </c>
      <c r="BC28">
        <v>0</v>
      </c>
      <c r="BD28">
        <v>45</v>
      </c>
      <c r="BE28">
        <v>0</v>
      </c>
      <c r="BF28">
        <f>E59/10</f>
        <v>0</v>
      </c>
      <c r="BG28">
        <f>Programmation!BL28</f>
        <v>0</v>
      </c>
    </row>
    <row r="29" spans="1:59">
      <c r="A29">
        <f>Programmation!A29</f>
        <v>0</v>
      </c>
      <c r="B29">
        <f>Programmation!D29</f>
        <v>0</v>
      </c>
      <c r="C29">
        <f>Programmation!B29</f>
        <v>0</v>
      </c>
      <c r="D29">
        <f>Programmation!C29</f>
        <v>0</v>
      </c>
      <c r="E29">
        <f>Programmation!F29*10</f>
        <v>0</v>
      </c>
      <c r="F29">
        <f>Programmation!G29</f>
        <v>0</v>
      </c>
      <c r="G29">
        <f>IF(Programmation!H29&lt;Config!$B$9,Config!$B$9,Programmation!H29)</f>
        <v>0</v>
      </c>
      <c r="H29">
        <f>IF(Programmation!I29&lt;Config!$B$10,Config!$B$10,Programmation!I29)</f>
        <v>0</v>
      </c>
      <c r="I29">
        <f>IF(Programmation!J29&lt;Config!$B$11,Config!$B$11,Programmation!J29)</f>
        <v>0</v>
      </c>
      <c r="J29">
        <f>Programmation!K29</f>
        <v>0</v>
      </c>
      <c r="K29">
        <f>IF(Programmation!L29&gt;95,95,Programmation!L29)</f>
        <v>0</v>
      </c>
      <c r="L29">
        <f>Programmation!M29</f>
        <v>0</v>
      </c>
      <c r="M29">
        <f>Programmation!N29</f>
        <v>0</v>
      </c>
      <c r="N29">
        <f>Programmation!O29</f>
        <v>0</v>
      </c>
      <c r="O29">
        <f>Programmation!P29</f>
        <v>0</v>
      </c>
      <c r="P29">
        <f>Programmation!Q29</f>
        <v>0</v>
      </c>
      <c r="Q29">
        <f>Programmation!R29</f>
        <v>0</v>
      </c>
      <c r="R29">
        <f>Programmation!S29</f>
        <v>0</v>
      </c>
      <c r="S29">
        <f>Programmation!T29</f>
        <v>0</v>
      </c>
      <c r="T29">
        <f>Programmation!U29</f>
        <v>0</v>
      </c>
      <c r="U29">
        <f>Programmation!V29</f>
        <v>0</v>
      </c>
      <c r="V29">
        <f>Programmation!W29</f>
        <v>0</v>
      </c>
      <c r="W29">
        <f>Programmation!X29</f>
        <v>0</v>
      </c>
      <c r="X29">
        <f>Programmation!Y29</f>
        <v>0</v>
      </c>
      <c r="Y29">
        <f>Programmation!Z29</f>
        <v>0</v>
      </c>
      <c r="Z29">
        <f>Programmation!AA29</f>
        <v>0</v>
      </c>
      <c r="AA29">
        <f>Programmation!AB29+Programmation!AC29*2+Programmation!AD29*4+Programmation!AE29*8</f>
        <v>0</v>
      </c>
      <c r="AB29">
        <f>Programmation!AG29</f>
        <v>0</v>
      </c>
      <c r="AC29">
        <f>Programmation!AJ29</f>
        <v>0</v>
      </c>
      <c r="AD29">
        <f>Programmation!AK29</f>
        <v>0</v>
      </c>
      <c r="AE29">
        <f>Programmation!AL29</f>
        <v>0</v>
      </c>
      <c r="AF29">
        <f>Programmation!AM29</f>
        <v>0</v>
      </c>
      <c r="AG29">
        <f>Programmation!AN29</f>
        <v>0</v>
      </c>
      <c r="AH29">
        <f>Programmation!AO29</f>
        <v>0</v>
      </c>
      <c r="AI29">
        <f>Programmation!AP29</f>
        <v>0</v>
      </c>
      <c r="AJ29">
        <f>Programmation!AQ29</f>
        <v>0</v>
      </c>
      <c r="AK29">
        <f>Programmation!AR29</f>
        <v>0</v>
      </c>
      <c r="AL29">
        <f>Programmation!AS29</f>
        <v>0</v>
      </c>
      <c r="AM29">
        <f>Programmation!AT29</f>
        <v>0</v>
      </c>
      <c r="AN29">
        <f>Programmation!AU29</f>
        <v>0</v>
      </c>
      <c r="AO29">
        <f>Programmation!AV29</f>
        <v>0</v>
      </c>
      <c r="AP29">
        <f>Programmation!AW29</f>
        <v>0</v>
      </c>
      <c r="AQ29">
        <f>Programmation!AX29</f>
        <v>0</v>
      </c>
      <c r="AR29">
        <f>Programmation!AY29</f>
        <v>0</v>
      </c>
      <c r="AS29">
        <f>Programmation!AZ29*10</f>
        <v>0</v>
      </c>
      <c r="AT29">
        <f>Programmation!BA29</f>
        <v>0</v>
      </c>
      <c r="AU29">
        <f>Programmation!BB29</f>
        <v>0</v>
      </c>
      <c r="AV29">
        <f>Programmation!BC29</f>
        <v>0</v>
      </c>
      <c r="AW29">
        <f>Programmation!BD29</f>
        <v>0</v>
      </c>
      <c r="AX29">
        <v>10</v>
      </c>
      <c r="AY29">
        <f>611.213+43.53*POWER(Programmation!BP29,1)+1.598*POWER(Programmation!BP29,2)+0.0159*POWER(Programmation!BP29,3)+0.000567*POWER(Programmation!BP29,4)</f>
        <v>0</v>
      </c>
      <c r="AZ29">
        <f>IF(K29=0,0,-241*(LOG10(AY29*K29/100)-2.7887)/((LOG10(AY29*K29/100)-2.7887-7.625)))</f>
        <v>0</v>
      </c>
      <c r="BA29">
        <f>0.622*AY30*K30/(10132500-AY30*K30)*1000</f>
        <v>0</v>
      </c>
      <c r="BB29">
        <v>450</v>
      </c>
      <c r="BC29">
        <v>0</v>
      </c>
      <c r="BD29">
        <v>45</v>
      </c>
      <c r="BE29">
        <v>0</v>
      </c>
      <c r="BF29">
        <f>E60/10</f>
        <v>0</v>
      </c>
      <c r="BG29">
        <f>Programmation!BL29</f>
        <v>0</v>
      </c>
    </row>
    <row r="30" spans="1:59">
      <c r="A30">
        <f>Programmation!A30</f>
        <v>0</v>
      </c>
      <c r="B30">
        <f>Programmation!D30</f>
        <v>0</v>
      </c>
      <c r="C30">
        <f>Programmation!B30</f>
        <v>0</v>
      </c>
      <c r="D30">
        <f>Programmation!C30</f>
        <v>0</v>
      </c>
      <c r="E30">
        <f>Programmation!F30*10</f>
        <v>0</v>
      </c>
      <c r="F30">
        <f>Programmation!G30</f>
        <v>0</v>
      </c>
      <c r="G30">
        <f>IF(Programmation!H30&lt;Config!$B$9,Config!$B$9,Programmation!H30)</f>
        <v>0</v>
      </c>
      <c r="H30">
        <f>IF(Programmation!I30&lt;Config!$B$10,Config!$B$10,Programmation!I30)</f>
        <v>0</v>
      </c>
      <c r="I30">
        <f>IF(Programmation!J30&lt;Config!$B$11,Config!$B$11,Programmation!J30)</f>
        <v>0</v>
      </c>
      <c r="J30">
        <f>Programmation!K30</f>
        <v>0</v>
      </c>
      <c r="K30">
        <f>IF(Programmation!L30&gt;95,95,Programmation!L30)</f>
        <v>0</v>
      </c>
      <c r="L30">
        <f>Programmation!M30</f>
        <v>0</v>
      </c>
      <c r="M30">
        <f>Programmation!N30</f>
        <v>0</v>
      </c>
      <c r="N30">
        <f>Programmation!O30</f>
        <v>0</v>
      </c>
      <c r="O30">
        <f>Programmation!P30</f>
        <v>0</v>
      </c>
      <c r="P30">
        <f>Programmation!Q30</f>
        <v>0</v>
      </c>
      <c r="Q30">
        <f>Programmation!R30</f>
        <v>0</v>
      </c>
      <c r="R30">
        <f>Programmation!S30</f>
        <v>0</v>
      </c>
      <c r="S30">
        <f>Programmation!T30</f>
        <v>0</v>
      </c>
      <c r="T30">
        <f>Programmation!U30</f>
        <v>0</v>
      </c>
      <c r="U30">
        <f>Programmation!V30</f>
        <v>0</v>
      </c>
      <c r="V30">
        <f>Programmation!W30</f>
        <v>0</v>
      </c>
      <c r="W30">
        <f>Programmation!X30</f>
        <v>0</v>
      </c>
      <c r="X30">
        <f>Programmation!Y30</f>
        <v>0</v>
      </c>
      <c r="Y30">
        <f>Programmation!Z30</f>
        <v>0</v>
      </c>
      <c r="Z30">
        <f>Programmation!AA30</f>
        <v>0</v>
      </c>
      <c r="AA30">
        <f>Programmation!AB30+Programmation!AC30*2+Programmation!AD30*4+Programmation!AE30*8</f>
        <v>0</v>
      </c>
      <c r="AB30">
        <f>Programmation!AG30</f>
        <v>0</v>
      </c>
      <c r="AC30">
        <f>Programmation!AJ30</f>
        <v>0</v>
      </c>
      <c r="AD30">
        <f>Programmation!AK30</f>
        <v>0</v>
      </c>
      <c r="AE30">
        <f>Programmation!AL30</f>
        <v>0</v>
      </c>
      <c r="AF30">
        <f>Programmation!AM30</f>
        <v>0</v>
      </c>
      <c r="AG30">
        <f>Programmation!AN30</f>
        <v>0</v>
      </c>
      <c r="AH30">
        <f>Programmation!AO30</f>
        <v>0</v>
      </c>
      <c r="AI30">
        <f>Programmation!AP30</f>
        <v>0</v>
      </c>
      <c r="AJ30">
        <f>Programmation!AQ30</f>
        <v>0</v>
      </c>
      <c r="AK30">
        <f>Programmation!AR30</f>
        <v>0</v>
      </c>
      <c r="AL30">
        <f>Programmation!AS30</f>
        <v>0</v>
      </c>
      <c r="AM30">
        <f>Programmation!AT30</f>
        <v>0</v>
      </c>
      <c r="AN30">
        <f>Programmation!AU30</f>
        <v>0</v>
      </c>
      <c r="AO30">
        <f>Programmation!AV30</f>
        <v>0</v>
      </c>
      <c r="AP30">
        <f>Programmation!AW30</f>
        <v>0</v>
      </c>
      <c r="AQ30">
        <f>Programmation!AX30</f>
        <v>0</v>
      </c>
      <c r="AR30">
        <f>Programmation!AY30</f>
        <v>0</v>
      </c>
      <c r="AS30">
        <f>Programmation!AZ30*10</f>
        <v>0</v>
      </c>
      <c r="AT30">
        <f>Programmation!BA30</f>
        <v>0</v>
      </c>
      <c r="AU30">
        <f>Programmation!BB30</f>
        <v>0</v>
      </c>
      <c r="AV30">
        <f>Programmation!BC30</f>
        <v>0</v>
      </c>
      <c r="AW30">
        <f>Programmation!BD30</f>
        <v>0</v>
      </c>
      <c r="AX30">
        <v>10</v>
      </c>
      <c r="AY30">
        <f>611.213+43.53*POWER(Programmation!BP30,1)+1.598*POWER(Programmation!BP30,2)+0.0159*POWER(Programmation!BP30,3)+0.000567*POWER(Programmation!BP30,4)</f>
        <v>0</v>
      </c>
      <c r="AZ30">
        <f>IF(K30=0,0,-241*(LOG10(AY30*K30/100)-2.7887)/((LOG10(AY30*K30/100)-2.7887-7.625)))</f>
        <v>0</v>
      </c>
      <c r="BA30">
        <f>0.622*AY31*K31/(10132500-AY31*K31)*1000</f>
        <v>0</v>
      </c>
      <c r="BB30">
        <v>450</v>
      </c>
      <c r="BC30">
        <v>0</v>
      </c>
      <c r="BD30">
        <v>45</v>
      </c>
      <c r="BE30">
        <v>0</v>
      </c>
      <c r="BF30">
        <f>E61/10</f>
        <v>0</v>
      </c>
      <c r="BG30">
        <f>Programmation!BL30</f>
        <v>0</v>
      </c>
    </row>
    <row r="31" spans="1:59">
      <c r="A31">
        <f>Programmation!A31</f>
        <v>0</v>
      </c>
      <c r="B31">
        <f>Programmation!D31</f>
        <v>0</v>
      </c>
      <c r="C31">
        <f>Programmation!B31</f>
        <v>0</v>
      </c>
      <c r="D31">
        <f>Programmation!C31</f>
        <v>0</v>
      </c>
      <c r="E31">
        <f>Programmation!F31*10</f>
        <v>0</v>
      </c>
      <c r="F31">
        <f>Programmation!G31</f>
        <v>0</v>
      </c>
      <c r="G31">
        <f>IF(Programmation!H31&lt;Config!$B$9,Config!$B$9,Programmation!H31)</f>
        <v>0</v>
      </c>
      <c r="H31">
        <f>IF(Programmation!I31&lt;Config!$B$10,Config!$B$10,Programmation!I31)</f>
        <v>0</v>
      </c>
      <c r="I31">
        <f>IF(Programmation!J31&lt;Config!$B$11,Config!$B$11,Programmation!J31)</f>
        <v>0</v>
      </c>
      <c r="J31">
        <f>Programmation!K31</f>
        <v>0</v>
      </c>
      <c r="K31">
        <f>IF(Programmation!L31&gt;95,95,Programmation!L31)</f>
        <v>0</v>
      </c>
      <c r="L31">
        <f>Programmation!M31</f>
        <v>0</v>
      </c>
      <c r="M31">
        <f>Programmation!N31</f>
        <v>0</v>
      </c>
      <c r="N31">
        <f>Programmation!O31</f>
        <v>0</v>
      </c>
      <c r="O31">
        <f>Programmation!P31</f>
        <v>0</v>
      </c>
      <c r="P31">
        <f>Programmation!Q31</f>
        <v>0</v>
      </c>
      <c r="Q31">
        <f>Programmation!R31</f>
        <v>0</v>
      </c>
      <c r="R31">
        <f>Programmation!S31</f>
        <v>0</v>
      </c>
      <c r="S31">
        <f>Programmation!T31</f>
        <v>0</v>
      </c>
      <c r="T31">
        <f>Programmation!U31</f>
        <v>0</v>
      </c>
      <c r="U31">
        <f>Programmation!V31</f>
        <v>0</v>
      </c>
      <c r="V31">
        <f>Programmation!W31</f>
        <v>0</v>
      </c>
      <c r="W31">
        <f>Programmation!X31</f>
        <v>0</v>
      </c>
      <c r="X31">
        <f>Programmation!Y31</f>
        <v>0</v>
      </c>
      <c r="Y31">
        <f>Programmation!Z31</f>
        <v>0</v>
      </c>
      <c r="Z31">
        <f>Programmation!AA31</f>
        <v>0</v>
      </c>
      <c r="AA31">
        <f>Programmation!AB31+Programmation!AC31*2+Programmation!AD31*4+Programmation!AE31*8</f>
        <v>0</v>
      </c>
      <c r="AB31">
        <f>Programmation!AG31</f>
        <v>0</v>
      </c>
      <c r="AC31">
        <f>Programmation!AJ31</f>
        <v>0</v>
      </c>
      <c r="AD31">
        <f>Programmation!AK31</f>
        <v>0</v>
      </c>
      <c r="AE31">
        <f>Programmation!AL31</f>
        <v>0</v>
      </c>
      <c r="AF31">
        <f>Programmation!AM31</f>
        <v>0</v>
      </c>
      <c r="AG31">
        <f>Programmation!AN31</f>
        <v>0</v>
      </c>
      <c r="AH31">
        <f>Programmation!AO31</f>
        <v>0</v>
      </c>
      <c r="AI31">
        <f>Programmation!AP31</f>
        <v>0</v>
      </c>
      <c r="AJ31">
        <f>Programmation!AQ31</f>
        <v>0</v>
      </c>
      <c r="AK31">
        <f>Programmation!AR31</f>
        <v>0</v>
      </c>
      <c r="AL31">
        <f>Programmation!AS31</f>
        <v>0</v>
      </c>
      <c r="AM31">
        <f>Programmation!AT31</f>
        <v>0</v>
      </c>
      <c r="AN31">
        <f>Programmation!AU31</f>
        <v>0</v>
      </c>
      <c r="AO31">
        <f>Programmation!AV31</f>
        <v>0</v>
      </c>
      <c r="AP31">
        <f>Programmation!AW31</f>
        <v>0</v>
      </c>
      <c r="AQ31">
        <f>Programmation!AX31</f>
        <v>0</v>
      </c>
      <c r="AR31">
        <f>Programmation!AY31</f>
        <v>0</v>
      </c>
      <c r="AS31">
        <f>Programmation!AZ31*10</f>
        <v>0</v>
      </c>
      <c r="AT31">
        <f>Programmation!BA31</f>
        <v>0</v>
      </c>
      <c r="AU31">
        <f>Programmation!BB31</f>
        <v>0</v>
      </c>
      <c r="AV31">
        <f>Programmation!BC31</f>
        <v>0</v>
      </c>
      <c r="AW31">
        <f>Programmation!BD31</f>
        <v>0</v>
      </c>
      <c r="AX31">
        <v>10</v>
      </c>
      <c r="AY31">
        <f>611.213+43.53*POWER(Programmation!BP31,1)+1.598*POWER(Programmation!BP31,2)+0.0159*POWER(Programmation!BP31,3)+0.000567*POWER(Programmation!BP31,4)</f>
        <v>0</v>
      </c>
      <c r="AZ31">
        <f>IF(K31=0,0,-241*(LOG10(AY31*K31/100)-2.7887)/((LOG10(AY31*K31/100)-2.7887-7.625)))</f>
        <v>0</v>
      </c>
      <c r="BA31">
        <f>0.622*AY32*K32/(10132500-AY32*K32)*1000</f>
        <v>0</v>
      </c>
      <c r="BB31">
        <v>450</v>
      </c>
      <c r="BC31">
        <v>0</v>
      </c>
      <c r="BD31">
        <v>45</v>
      </c>
      <c r="BE31">
        <v>0</v>
      </c>
      <c r="BF31">
        <f>E62/10</f>
        <v>0</v>
      </c>
      <c r="BG31">
        <f>Programmation!BL31</f>
        <v>0</v>
      </c>
    </row>
    <row r="32" spans="1:59">
      <c r="A32">
        <f>Programmation!A32</f>
        <v>0</v>
      </c>
      <c r="B32">
        <f>Programmation!D32</f>
        <v>0</v>
      </c>
      <c r="C32">
        <f>Programmation!B32</f>
        <v>0</v>
      </c>
      <c r="D32">
        <f>Programmation!C32</f>
        <v>0</v>
      </c>
      <c r="E32">
        <f>Programmation!F32*10</f>
        <v>0</v>
      </c>
      <c r="F32">
        <f>Programmation!G32</f>
        <v>0</v>
      </c>
      <c r="G32">
        <f>IF(Programmation!H32&lt;Config!$B$9,Config!$B$9,Programmation!H32)</f>
        <v>0</v>
      </c>
      <c r="H32">
        <f>IF(Programmation!I32&lt;Config!$B$10,Config!$B$10,Programmation!I32)</f>
        <v>0</v>
      </c>
      <c r="I32">
        <f>IF(Programmation!J32&lt;Config!$B$11,Config!$B$11,Programmation!J32)</f>
        <v>0</v>
      </c>
      <c r="J32">
        <f>Programmation!K32</f>
        <v>0</v>
      </c>
      <c r="K32">
        <f>IF(Programmation!L32&gt;95,95,Programmation!L32)</f>
        <v>0</v>
      </c>
      <c r="L32">
        <f>Programmation!M32</f>
        <v>0</v>
      </c>
      <c r="M32">
        <f>Programmation!N32</f>
        <v>0</v>
      </c>
      <c r="N32">
        <f>Programmation!O32</f>
        <v>0</v>
      </c>
      <c r="O32">
        <f>Programmation!P32</f>
        <v>0</v>
      </c>
      <c r="P32">
        <f>Programmation!Q32</f>
        <v>0</v>
      </c>
      <c r="Q32">
        <f>Programmation!R32</f>
        <v>0</v>
      </c>
      <c r="R32">
        <f>Programmation!S32</f>
        <v>0</v>
      </c>
      <c r="S32">
        <f>Programmation!T32</f>
        <v>0</v>
      </c>
      <c r="T32">
        <f>Programmation!U32</f>
        <v>0</v>
      </c>
      <c r="U32">
        <f>Programmation!V32</f>
        <v>0</v>
      </c>
      <c r="V32">
        <f>Programmation!W32</f>
        <v>0</v>
      </c>
      <c r="W32">
        <f>Programmation!X32</f>
        <v>0</v>
      </c>
      <c r="X32">
        <f>Programmation!Y32</f>
        <v>0</v>
      </c>
      <c r="Y32">
        <f>Programmation!Z32</f>
        <v>0</v>
      </c>
      <c r="Z32">
        <f>Programmation!AA32</f>
        <v>0</v>
      </c>
      <c r="AA32">
        <f>Programmation!AB32+Programmation!AC32*2+Programmation!AD32*4+Programmation!AE32*8</f>
        <v>0</v>
      </c>
      <c r="AB32">
        <f>Programmation!AG32</f>
        <v>0</v>
      </c>
      <c r="AC32">
        <f>Programmation!AJ32</f>
        <v>0</v>
      </c>
      <c r="AD32">
        <f>Programmation!AK32</f>
        <v>0</v>
      </c>
      <c r="AE32">
        <f>Programmation!AL32</f>
        <v>0</v>
      </c>
      <c r="AF32">
        <f>Programmation!AM32</f>
        <v>0</v>
      </c>
      <c r="AG32">
        <f>Programmation!AN32</f>
        <v>0</v>
      </c>
      <c r="AH32">
        <f>Programmation!AO32</f>
        <v>0</v>
      </c>
      <c r="AI32">
        <f>Programmation!AP32</f>
        <v>0</v>
      </c>
      <c r="AJ32">
        <f>Programmation!AQ32</f>
        <v>0</v>
      </c>
      <c r="AK32">
        <f>Programmation!AR32</f>
        <v>0</v>
      </c>
      <c r="AL32">
        <f>Programmation!AS32</f>
        <v>0</v>
      </c>
      <c r="AM32">
        <f>Programmation!AT32</f>
        <v>0</v>
      </c>
      <c r="AN32">
        <f>Programmation!AU32</f>
        <v>0</v>
      </c>
      <c r="AO32">
        <f>Programmation!AV32</f>
        <v>0</v>
      </c>
      <c r="AP32">
        <f>Programmation!AW32</f>
        <v>0</v>
      </c>
      <c r="AQ32">
        <f>Programmation!AX32</f>
        <v>0</v>
      </c>
      <c r="AR32">
        <f>Programmation!AY32</f>
        <v>0</v>
      </c>
      <c r="AS32">
        <f>Programmation!AZ32*10</f>
        <v>0</v>
      </c>
      <c r="AT32">
        <f>Programmation!BA32</f>
        <v>0</v>
      </c>
      <c r="AU32">
        <f>Programmation!BB32</f>
        <v>0</v>
      </c>
      <c r="AV32">
        <f>Programmation!BC32</f>
        <v>0</v>
      </c>
      <c r="AW32">
        <f>Programmation!BD32</f>
        <v>0</v>
      </c>
      <c r="AX32">
        <v>10</v>
      </c>
      <c r="AY32">
        <f>611.213+43.53*POWER(Programmation!BP32,1)+1.598*POWER(Programmation!BP32,2)+0.0159*POWER(Programmation!BP32,3)+0.000567*POWER(Programmation!BP32,4)</f>
        <v>0</v>
      </c>
      <c r="AZ32">
        <f>IF(K32=0,0,-241*(LOG10(AY32*K32/100)-2.7887)/((LOG10(AY32*K32/100)-2.7887-7.625)))</f>
        <v>0</v>
      </c>
      <c r="BA32">
        <f>0.622*AY33*K33/(10132500-AY33*K33)*1000</f>
        <v>0</v>
      </c>
      <c r="BB32">
        <v>450</v>
      </c>
      <c r="BC32">
        <v>0</v>
      </c>
      <c r="BD32">
        <v>45</v>
      </c>
      <c r="BE32">
        <v>0</v>
      </c>
      <c r="BF32">
        <f>E63/10</f>
        <v>0</v>
      </c>
      <c r="BG32">
        <f>Programmation!BL32</f>
        <v>0</v>
      </c>
    </row>
    <row r="33" spans="1:59">
      <c r="A33">
        <f>Programmation!A33</f>
        <v>0</v>
      </c>
      <c r="B33">
        <f>Programmation!D33</f>
        <v>0</v>
      </c>
      <c r="C33">
        <f>Programmation!B33</f>
        <v>0</v>
      </c>
      <c r="D33">
        <f>Programmation!C33</f>
        <v>0</v>
      </c>
      <c r="E33">
        <f>Programmation!F33*10</f>
        <v>0</v>
      </c>
      <c r="F33">
        <f>Programmation!G33</f>
        <v>0</v>
      </c>
      <c r="G33">
        <f>IF(Programmation!H33&lt;Config!$B$9,Config!$B$9,Programmation!H33)</f>
        <v>0</v>
      </c>
      <c r="H33">
        <f>IF(Programmation!I33&lt;Config!$B$10,Config!$B$10,Programmation!I33)</f>
        <v>0</v>
      </c>
      <c r="I33">
        <f>IF(Programmation!J33&lt;Config!$B$11,Config!$B$11,Programmation!J33)</f>
        <v>0</v>
      </c>
      <c r="J33">
        <f>Programmation!K33</f>
        <v>0</v>
      </c>
      <c r="K33">
        <f>IF(Programmation!L33&gt;95,95,Programmation!L33)</f>
        <v>0</v>
      </c>
      <c r="L33">
        <f>Programmation!M33</f>
        <v>0</v>
      </c>
      <c r="M33">
        <f>Programmation!N33</f>
        <v>0</v>
      </c>
      <c r="N33">
        <f>Programmation!O33</f>
        <v>0</v>
      </c>
      <c r="O33">
        <f>Programmation!P33</f>
        <v>0</v>
      </c>
      <c r="P33">
        <f>Programmation!Q33</f>
        <v>0</v>
      </c>
      <c r="Q33">
        <f>Programmation!R33</f>
        <v>0</v>
      </c>
      <c r="R33">
        <f>Programmation!S33</f>
        <v>0</v>
      </c>
      <c r="S33">
        <f>Programmation!T33</f>
        <v>0</v>
      </c>
      <c r="T33">
        <f>Programmation!U33</f>
        <v>0</v>
      </c>
      <c r="U33">
        <f>Programmation!V33</f>
        <v>0</v>
      </c>
      <c r="V33">
        <f>Programmation!W33</f>
        <v>0</v>
      </c>
      <c r="W33">
        <f>Programmation!X33</f>
        <v>0</v>
      </c>
      <c r="X33">
        <f>Programmation!Y33</f>
        <v>0</v>
      </c>
      <c r="Y33">
        <f>Programmation!Z33</f>
        <v>0</v>
      </c>
      <c r="Z33">
        <f>Programmation!AA33</f>
        <v>0</v>
      </c>
      <c r="AA33">
        <f>Programmation!AB33+Programmation!AC33*2+Programmation!AD33*4+Programmation!AE33*8</f>
        <v>0</v>
      </c>
      <c r="AB33">
        <f>Programmation!AG33</f>
        <v>0</v>
      </c>
      <c r="AC33">
        <f>Programmation!AJ33</f>
        <v>0</v>
      </c>
      <c r="AD33">
        <f>Programmation!AK33</f>
        <v>0</v>
      </c>
      <c r="AE33">
        <f>Programmation!AL33</f>
        <v>0</v>
      </c>
      <c r="AF33">
        <f>Programmation!AM33</f>
        <v>0</v>
      </c>
      <c r="AG33">
        <f>Programmation!AN33</f>
        <v>0</v>
      </c>
      <c r="AH33">
        <f>Programmation!AO33</f>
        <v>0</v>
      </c>
      <c r="AI33">
        <f>Programmation!AP33</f>
        <v>0</v>
      </c>
      <c r="AJ33">
        <f>Programmation!AQ33</f>
        <v>0</v>
      </c>
      <c r="AK33">
        <f>Programmation!AR33</f>
        <v>0</v>
      </c>
      <c r="AL33">
        <f>Programmation!AS33</f>
        <v>0</v>
      </c>
      <c r="AM33">
        <f>Programmation!AT33</f>
        <v>0</v>
      </c>
      <c r="AN33">
        <f>Programmation!AU33</f>
        <v>0</v>
      </c>
      <c r="AO33">
        <f>Programmation!AV33</f>
        <v>0</v>
      </c>
      <c r="AP33">
        <f>Programmation!AW33</f>
        <v>0</v>
      </c>
      <c r="AQ33">
        <f>Programmation!AX33</f>
        <v>0</v>
      </c>
      <c r="AR33">
        <f>Programmation!AY33</f>
        <v>0</v>
      </c>
      <c r="AS33">
        <f>Programmation!AZ33*10</f>
        <v>0</v>
      </c>
      <c r="AT33">
        <f>Programmation!BA33</f>
        <v>0</v>
      </c>
      <c r="AU33">
        <f>Programmation!BB33</f>
        <v>0</v>
      </c>
      <c r="AV33">
        <f>Programmation!BC33</f>
        <v>0</v>
      </c>
      <c r="AW33">
        <f>Programmation!BD33</f>
        <v>0</v>
      </c>
      <c r="AX33">
        <v>10</v>
      </c>
      <c r="AY33">
        <f>611.213+43.53*POWER(Programmation!BP33,1)+1.598*POWER(Programmation!BP33,2)+0.0159*POWER(Programmation!BP33,3)+0.000567*POWER(Programmation!BP33,4)</f>
        <v>0</v>
      </c>
      <c r="AZ33">
        <f>IF(K33=0,0,-241*(LOG10(AY33*K33/100)-2.7887)/((LOG10(AY33*K33/100)-2.7887-7.625)))</f>
        <v>0</v>
      </c>
      <c r="BA33">
        <f>0.622*AY34*K34/(10132500-AY34*K34)*1000</f>
        <v>0</v>
      </c>
      <c r="BB33">
        <v>450</v>
      </c>
      <c r="BC33">
        <v>0</v>
      </c>
      <c r="BD33">
        <v>45</v>
      </c>
      <c r="BE33">
        <v>0</v>
      </c>
      <c r="BF33">
        <f>E64/10</f>
        <v>0</v>
      </c>
      <c r="BG33">
        <f>Programmation!BL33</f>
        <v>0</v>
      </c>
    </row>
    <row r="34" spans="1:59">
      <c r="A34">
        <f>Programmation!A34</f>
        <v>0</v>
      </c>
      <c r="B34">
        <f>Programmation!D34</f>
        <v>0</v>
      </c>
      <c r="C34">
        <f>Programmation!B34</f>
        <v>0</v>
      </c>
      <c r="D34">
        <f>Programmation!C34</f>
        <v>0</v>
      </c>
      <c r="E34">
        <f>Programmation!F34*10</f>
        <v>0</v>
      </c>
      <c r="F34">
        <f>Programmation!G34</f>
        <v>0</v>
      </c>
      <c r="G34">
        <f>IF(Programmation!H34&lt;Config!$B$9,Config!$B$9,Programmation!H34)</f>
        <v>0</v>
      </c>
      <c r="H34">
        <f>IF(Programmation!I34&lt;Config!$B$10,Config!$B$10,Programmation!I34)</f>
        <v>0</v>
      </c>
      <c r="I34">
        <f>IF(Programmation!J34&lt;Config!$B$11,Config!$B$11,Programmation!J34)</f>
        <v>0</v>
      </c>
      <c r="J34">
        <f>Programmation!K34</f>
        <v>0</v>
      </c>
      <c r="K34">
        <f>IF(Programmation!L34&gt;95,95,Programmation!L34)</f>
        <v>0</v>
      </c>
      <c r="L34">
        <f>Programmation!M34</f>
        <v>0</v>
      </c>
      <c r="M34">
        <f>Programmation!N34</f>
        <v>0</v>
      </c>
      <c r="N34">
        <f>Programmation!O34</f>
        <v>0</v>
      </c>
      <c r="O34">
        <f>Programmation!P34</f>
        <v>0</v>
      </c>
      <c r="P34">
        <f>Programmation!Q34</f>
        <v>0</v>
      </c>
      <c r="Q34">
        <f>Programmation!R34</f>
        <v>0</v>
      </c>
      <c r="R34">
        <f>Programmation!S34</f>
        <v>0</v>
      </c>
      <c r="S34">
        <f>Programmation!T34</f>
        <v>0</v>
      </c>
      <c r="T34">
        <f>Programmation!U34</f>
        <v>0</v>
      </c>
      <c r="U34">
        <f>Programmation!V34</f>
        <v>0</v>
      </c>
      <c r="V34">
        <f>Programmation!W34</f>
        <v>0</v>
      </c>
      <c r="W34">
        <f>Programmation!X34</f>
        <v>0</v>
      </c>
      <c r="X34">
        <f>Programmation!Y34</f>
        <v>0</v>
      </c>
      <c r="Y34">
        <f>Programmation!Z34</f>
        <v>0</v>
      </c>
      <c r="Z34">
        <f>Programmation!AA34</f>
        <v>0</v>
      </c>
      <c r="AA34">
        <f>Programmation!AB34+Programmation!AC34*2+Programmation!AD34*4+Programmation!AE34*8</f>
        <v>0</v>
      </c>
      <c r="AB34">
        <f>Programmation!AG34</f>
        <v>0</v>
      </c>
      <c r="AC34">
        <f>Programmation!AJ34</f>
        <v>0</v>
      </c>
      <c r="AD34">
        <f>Programmation!AK34</f>
        <v>0</v>
      </c>
      <c r="AE34">
        <f>Programmation!AL34</f>
        <v>0</v>
      </c>
      <c r="AF34">
        <f>Programmation!AM34</f>
        <v>0</v>
      </c>
      <c r="AG34">
        <f>Programmation!AN34</f>
        <v>0</v>
      </c>
      <c r="AH34">
        <f>Programmation!AO34</f>
        <v>0</v>
      </c>
      <c r="AI34">
        <f>Programmation!AP34</f>
        <v>0</v>
      </c>
      <c r="AJ34">
        <f>Programmation!AQ34</f>
        <v>0</v>
      </c>
      <c r="AK34">
        <f>Programmation!AR34</f>
        <v>0</v>
      </c>
      <c r="AL34">
        <f>Programmation!AS34</f>
        <v>0</v>
      </c>
      <c r="AM34">
        <f>Programmation!AT34</f>
        <v>0</v>
      </c>
      <c r="AN34">
        <f>Programmation!AU34</f>
        <v>0</v>
      </c>
      <c r="AO34">
        <f>Programmation!AV34</f>
        <v>0</v>
      </c>
      <c r="AP34">
        <f>Programmation!AW34</f>
        <v>0</v>
      </c>
      <c r="AQ34">
        <f>Programmation!AX34</f>
        <v>0</v>
      </c>
      <c r="AR34">
        <f>Programmation!AY34</f>
        <v>0</v>
      </c>
      <c r="AS34">
        <f>Programmation!AZ34*10</f>
        <v>0</v>
      </c>
      <c r="AT34">
        <f>Programmation!BA34</f>
        <v>0</v>
      </c>
      <c r="AU34">
        <f>Programmation!BB34</f>
        <v>0</v>
      </c>
      <c r="AV34">
        <f>Programmation!BC34</f>
        <v>0</v>
      </c>
      <c r="AW34">
        <f>Programmation!BD34</f>
        <v>0</v>
      </c>
      <c r="AX34">
        <v>10</v>
      </c>
      <c r="AY34">
        <f>611.213+43.53*POWER(Programmation!BP34,1)+1.598*POWER(Programmation!BP34,2)+0.0159*POWER(Programmation!BP34,3)+0.000567*POWER(Programmation!BP34,4)</f>
        <v>0</v>
      </c>
      <c r="AZ34">
        <f>IF(K34=0,0,-241*(LOG10(AY34*K34/100)-2.7887)/((LOG10(AY34*K34/100)-2.7887-7.625)))</f>
        <v>0</v>
      </c>
      <c r="BA34">
        <f>0.622*AY35*K35/(10132500-AY35*K35)*1000</f>
        <v>0</v>
      </c>
      <c r="BB34">
        <v>450</v>
      </c>
      <c r="BC34">
        <v>0</v>
      </c>
      <c r="BD34">
        <v>45</v>
      </c>
      <c r="BE34">
        <v>0</v>
      </c>
      <c r="BF34">
        <f>E65/10</f>
        <v>0</v>
      </c>
      <c r="BG34">
        <f>Programmation!BL34</f>
        <v>0</v>
      </c>
    </row>
    <row r="35" spans="1:59">
      <c r="A35">
        <f>Programmation!A35</f>
        <v>0</v>
      </c>
      <c r="B35">
        <f>Programmation!D35</f>
        <v>0</v>
      </c>
      <c r="C35">
        <f>Programmation!B35</f>
        <v>0</v>
      </c>
      <c r="D35">
        <f>Programmation!C35</f>
        <v>0</v>
      </c>
      <c r="E35">
        <f>Programmation!F35*10</f>
        <v>0</v>
      </c>
      <c r="F35">
        <f>Programmation!G35</f>
        <v>0</v>
      </c>
      <c r="G35">
        <f>IF(Programmation!H35&lt;Config!$B$9,Config!$B$9,Programmation!H35)</f>
        <v>0</v>
      </c>
      <c r="H35">
        <f>IF(Programmation!I35&lt;Config!$B$10,Config!$B$10,Programmation!I35)</f>
        <v>0</v>
      </c>
      <c r="I35">
        <f>IF(Programmation!J35&lt;Config!$B$11,Config!$B$11,Programmation!J35)</f>
        <v>0</v>
      </c>
      <c r="J35">
        <f>Programmation!K35</f>
        <v>0</v>
      </c>
      <c r="K35">
        <f>IF(Programmation!L35&gt;95,95,Programmation!L35)</f>
        <v>0</v>
      </c>
      <c r="L35">
        <f>Programmation!M35</f>
        <v>0</v>
      </c>
      <c r="M35">
        <f>Programmation!N35</f>
        <v>0</v>
      </c>
      <c r="N35">
        <f>Programmation!O35</f>
        <v>0</v>
      </c>
      <c r="O35">
        <f>Programmation!P35</f>
        <v>0</v>
      </c>
      <c r="P35">
        <f>Programmation!Q35</f>
        <v>0</v>
      </c>
      <c r="Q35">
        <f>Programmation!R35</f>
        <v>0</v>
      </c>
      <c r="R35">
        <f>Programmation!S35</f>
        <v>0</v>
      </c>
      <c r="S35">
        <f>Programmation!T35</f>
        <v>0</v>
      </c>
      <c r="T35">
        <f>Programmation!U35</f>
        <v>0</v>
      </c>
      <c r="U35">
        <f>Programmation!V35</f>
        <v>0</v>
      </c>
      <c r="V35">
        <f>Programmation!W35</f>
        <v>0</v>
      </c>
      <c r="W35">
        <f>Programmation!X35</f>
        <v>0</v>
      </c>
      <c r="X35">
        <f>Programmation!Y35</f>
        <v>0</v>
      </c>
      <c r="Y35">
        <f>Programmation!Z35</f>
        <v>0</v>
      </c>
      <c r="Z35">
        <f>Programmation!AA35</f>
        <v>0</v>
      </c>
      <c r="AA35">
        <f>Programmation!AB35+Programmation!AC35*2+Programmation!AD35*4+Programmation!AE35*8</f>
        <v>0</v>
      </c>
      <c r="AB35">
        <f>Programmation!AG35</f>
        <v>0</v>
      </c>
      <c r="AC35">
        <f>Programmation!AJ35</f>
        <v>0</v>
      </c>
      <c r="AD35">
        <f>Programmation!AK35</f>
        <v>0</v>
      </c>
      <c r="AE35">
        <f>Programmation!AL35</f>
        <v>0</v>
      </c>
      <c r="AF35">
        <f>Programmation!AM35</f>
        <v>0</v>
      </c>
      <c r="AG35">
        <f>Programmation!AN35</f>
        <v>0</v>
      </c>
      <c r="AH35">
        <f>Programmation!AO35</f>
        <v>0</v>
      </c>
      <c r="AI35">
        <f>Programmation!AP35</f>
        <v>0</v>
      </c>
      <c r="AJ35">
        <f>Programmation!AQ35</f>
        <v>0</v>
      </c>
      <c r="AK35">
        <f>Programmation!AR35</f>
        <v>0</v>
      </c>
      <c r="AL35">
        <f>Programmation!AS35</f>
        <v>0</v>
      </c>
      <c r="AM35">
        <f>Programmation!AT35</f>
        <v>0</v>
      </c>
      <c r="AN35">
        <f>Programmation!AU35</f>
        <v>0</v>
      </c>
      <c r="AO35">
        <f>Programmation!AV35</f>
        <v>0</v>
      </c>
      <c r="AP35">
        <f>Programmation!AW35</f>
        <v>0</v>
      </c>
      <c r="AQ35">
        <f>Programmation!AX35</f>
        <v>0</v>
      </c>
      <c r="AR35">
        <f>Programmation!AY35</f>
        <v>0</v>
      </c>
      <c r="AS35">
        <f>Programmation!AZ35*10</f>
        <v>0</v>
      </c>
      <c r="AT35">
        <f>Programmation!BA35</f>
        <v>0</v>
      </c>
      <c r="AU35">
        <f>Programmation!BB35</f>
        <v>0</v>
      </c>
      <c r="AV35">
        <f>Programmation!BC35</f>
        <v>0</v>
      </c>
      <c r="AW35">
        <f>Programmation!BD35</f>
        <v>0</v>
      </c>
      <c r="AX35">
        <v>10</v>
      </c>
      <c r="AY35">
        <f>611.213+43.53*POWER(Programmation!BP35,1)+1.598*POWER(Programmation!BP35,2)+0.0159*POWER(Programmation!BP35,3)+0.000567*POWER(Programmation!BP35,4)</f>
        <v>0</v>
      </c>
      <c r="AZ35">
        <f>IF(K35=0,0,-241*(LOG10(AY35*K35/100)-2.7887)/((LOG10(AY35*K35/100)-2.7887-7.625)))</f>
        <v>0</v>
      </c>
      <c r="BA35">
        <f>0.622*AY36*K36/(10132500-AY36*K36)*1000</f>
        <v>0</v>
      </c>
      <c r="BB35">
        <v>450</v>
      </c>
      <c r="BC35">
        <v>0</v>
      </c>
      <c r="BD35">
        <v>45</v>
      </c>
      <c r="BE35">
        <v>0</v>
      </c>
      <c r="BF35">
        <f>E66/10</f>
        <v>0</v>
      </c>
      <c r="BG35">
        <f>Programmation!BL35</f>
        <v>0</v>
      </c>
    </row>
    <row r="36" spans="1:59">
      <c r="A36">
        <f>Programmation!A36</f>
        <v>0</v>
      </c>
      <c r="B36">
        <f>Programmation!D36</f>
        <v>0</v>
      </c>
      <c r="C36">
        <f>Programmation!B36</f>
        <v>0</v>
      </c>
      <c r="D36">
        <f>Programmation!C36</f>
        <v>0</v>
      </c>
      <c r="E36">
        <f>Programmation!F36*10</f>
        <v>0</v>
      </c>
      <c r="F36">
        <f>Programmation!G36</f>
        <v>0</v>
      </c>
      <c r="G36">
        <f>IF(Programmation!H36&lt;Config!$B$9,Config!$B$9,Programmation!H36)</f>
        <v>0</v>
      </c>
      <c r="H36">
        <f>IF(Programmation!I36&lt;Config!$B$10,Config!$B$10,Programmation!I36)</f>
        <v>0</v>
      </c>
      <c r="I36">
        <f>IF(Programmation!J36&lt;Config!$B$11,Config!$B$11,Programmation!J36)</f>
        <v>0</v>
      </c>
      <c r="J36">
        <f>Programmation!K36</f>
        <v>0</v>
      </c>
      <c r="K36">
        <f>IF(Programmation!L36&gt;95,95,Programmation!L36)</f>
        <v>0</v>
      </c>
      <c r="L36">
        <f>Programmation!M36</f>
        <v>0</v>
      </c>
      <c r="M36">
        <f>Programmation!N36</f>
        <v>0</v>
      </c>
      <c r="N36">
        <f>Programmation!O36</f>
        <v>0</v>
      </c>
      <c r="O36">
        <f>Programmation!P36</f>
        <v>0</v>
      </c>
      <c r="P36">
        <f>Programmation!Q36</f>
        <v>0</v>
      </c>
      <c r="Q36">
        <f>Programmation!R36</f>
        <v>0</v>
      </c>
      <c r="R36">
        <f>Programmation!S36</f>
        <v>0</v>
      </c>
      <c r="S36">
        <f>Programmation!T36</f>
        <v>0</v>
      </c>
      <c r="T36">
        <f>Programmation!U36</f>
        <v>0</v>
      </c>
      <c r="U36">
        <f>Programmation!V36</f>
        <v>0</v>
      </c>
      <c r="V36">
        <f>Programmation!W36</f>
        <v>0</v>
      </c>
      <c r="W36">
        <f>Programmation!X36</f>
        <v>0</v>
      </c>
      <c r="X36">
        <f>Programmation!Y36</f>
        <v>0</v>
      </c>
      <c r="Y36">
        <f>Programmation!Z36</f>
        <v>0</v>
      </c>
      <c r="Z36">
        <f>Programmation!AA36</f>
        <v>0</v>
      </c>
      <c r="AA36">
        <f>Programmation!AB36+Programmation!AC36*2+Programmation!AD36*4+Programmation!AE36*8</f>
        <v>0</v>
      </c>
      <c r="AB36">
        <f>Programmation!AG36</f>
        <v>0</v>
      </c>
      <c r="AC36">
        <f>Programmation!AJ36</f>
        <v>0</v>
      </c>
      <c r="AD36">
        <f>Programmation!AK36</f>
        <v>0</v>
      </c>
      <c r="AE36">
        <f>Programmation!AL36</f>
        <v>0</v>
      </c>
      <c r="AF36">
        <f>Programmation!AM36</f>
        <v>0</v>
      </c>
      <c r="AG36">
        <f>Programmation!AN36</f>
        <v>0</v>
      </c>
      <c r="AH36">
        <f>Programmation!AO36</f>
        <v>0</v>
      </c>
      <c r="AI36">
        <f>Programmation!AP36</f>
        <v>0</v>
      </c>
      <c r="AJ36">
        <f>Programmation!AQ36</f>
        <v>0</v>
      </c>
      <c r="AK36">
        <f>Programmation!AR36</f>
        <v>0</v>
      </c>
      <c r="AL36">
        <f>Programmation!AS36</f>
        <v>0</v>
      </c>
      <c r="AM36">
        <f>Programmation!AT36</f>
        <v>0</v>
      </c>
      <c r="AN36">
        <f>Programmation!AU36</f>
        <v>0</v>
      </c>
      <c r="AO36">
        <f>Programmation!AV36</f>
        <v>0</v>
      </c>
      <c r="AP36">
        <f>Programmation!AW36</f>
        <v>0</v>
      </c>
      <c r="AQ36">
        <f>Programmation!AX36</f>
        <v>0</v>
      </c>
      <c r="AR36">
        <f>Programmation!AY36</f>
        <v>0</v>
      </c>
      <c r="AS36">
        <f>Programmation!AZ36*10</f>
        <v>0</v>
      </c>
      <c r="AT36">
        <f>Programmation!BA36</f>
        <v>0</v>
      </c>
      <c r="AU36">
        <f>Programmation!BB36</f>
        <v>0</v>
      </c>
      <c r="AV36">
        <f>Programmation!BC36</f>
        <v>0</v>
      </c>
      <c r="AW36">
        <f>Programmation!BD36</f>
        <v>0</v>
      </c>
      <c r="AX36">
        <v>10</v>
      </c>
      <c r="AY36">
        <f>611.213+43.53*POWER(Programmation!BP36,1)+1.598*POWER(Programmation!BP36,2)+0.0159*POWER(Programmation!BP36,3)+0.000567*POWER(Programmation!BP36,4)</f>
        <v>0</v>
      </c>
      <c r="AZ36">
        <f>IF(K36=0,0,-241*(LOG10(AY36*K36/100)-2.7887)/((LOG10(AY36*K36/100)-2.7887-7.625)))</f>
        <v>0</v>
      </c>
      <c r="BA36">
        <f>0.622*AY37*K37/(10132500-AY37*K37)*1000</f>
        <v>0</v>
      </c>
      <c r="BB36">
        <v>450</v>
      </c>
      <c r="BC36">
        <v>0</v>
      </c>
      <c r="BD36">
        <v>45</v>
      </c>
      <c r="BE36">
        <v>0</v>
      </c>
      <c r="BF36">
        <f>E67/10</f>
        <v>0</v>
      </c>
      <c r="BG36">
        <f>Programmation!BL36</f>
        <v>0</v>
      </c>
    </row>
    <row r="37" spans="1:59">
      <c r="A37">
        <f>Programmation!A37</f>
        <v>0</v>
      </c>
      <c r="B37">
        <f>Programmation!D37</f>
        <v>0</v>
      </c>
      <c r="C37">
        <f>Programmation!B37</f>
        <v>0</v>
      </c>
      <c r="D37">
        <f>Programmation!C37</f>
        <v>0</v>
      </c>
      <c r="E37">
        <f>Programmation!F37*10</f>
        <v>0</v>
      </c>
      <c r="F37">
        <f>Programmation!G37</f>
        <v>0</v>
      </c>
      <c r="G37">
        <f>IF(Programmation!H37&lt;Config!$B$9,Config!$B$9,Programmation!H37)</f>
        <v>0</v>
      </c>
      <c r="H37">
        <f>IF(Programmation!I37&lt;Config!$B$10,Config!$B$10,Programmation!I37)</f>
        <v>0</v>
      </c>
      <c r="I37">
        <f>IF(Programmation!J37&lt;Config!$B$11,Config!$B$11,Programmation!J37)</f>
        <v>0</v>
      </c>
      <c r="J37">
        <f>Programmation!K37</f>
        <v>0</v>
      </c>
      <c r="K37">
        <f>IF(Programmation!L37&gt;95,95,Programmation!L37)</f>
        <v>0</v>
      </c>
      <c r="L37">
        <f>Programmation!M37</f>
        <v>0</v>
      </c>
      <c r="M37">
        <f>Programmation!N37</f>
        <v>0</v>
      </c>
      <c r="N37">
        <f>Programmation!O37</f>
        <v>0</v>
      </c>
      <c r="O37">
        <f>Programmation!P37</f>
        <v>0</v>
      </c>
      <c r="P37">
        <f>Programmation!Q37</f>
        <v>0</v>
      </c>
      <c r="Q37">
        <f>Programmation!R37</f>
        <v>0</v>
      </c>
      <c r="R37">
        <f>Programmation!S37</f>
        <v>0</v>
      </c>
      <c r="S37">
        <f>Programmation!T37</f>
        <v>0</v>
      </c>
      <c r="T37">
        <f>Programmation!U37</f>
        <v>0</v>
      </c>
      <c r="U37">
        <f>Programmation!V37</f>
        <v>0</v>
      </c>
      <c r="V37">
        <f>Programmation!W37</f>
        <v>0</v>
      </c>
      <c r="W37">
        <f>Programmation!X37</f>
        <v>0</v>
      </c>
      <c r="X37">
        <f>Programmation!Y37</f>
        <v>0</v>
      </c>
      <c r="Y37">
        <f>Programmation!Z37</f>
        <v>0</v>
      </c>
      <c r="Z37">
        <f>Programmation!AA37</f>
        <v>0</v>
      </c>
      <c r="AA37">
        <f>Programmation!AB37+Programmation!AC37*2+Programmation!AD37*4+Programmation!AE37*8</f>
        <v>0</v>
      </c>
      <c r="AB37">
        <f>Programmation!AG37</f>
        <v>0</v>
      </c>
      <c r="AC37">
        <f>Programmation!AJ37</f>
        <v>0</v>
      </c>
      <c r="AD37">
        <f>Programmation!AK37</f>
        <v>0</v>
      </c>
      <c r="AE37">
        <f>Programmation!AL37</f>
        <v>0</v>
      </c>
      <c r="AF37">
        <f>Programmation!AM37</f>
        <v>0</v>
      </c>
      <c r="AG37">
        <f>Programmation!AN37</f>
        <v>0</v>
      </c>
      <c r="AH37">
        <f>Programmation!AO37</f>
        <v>0</v>
      </c>
      <c r="AI37">
        <f>Programmation!AP37</f>
        <v>0</v>
      </c>
      <c r="AJ37">
        <f>Programmation!AQ37</f>
        <v>0</v>
      </c>
      <c r="AK37">
        <f>Programmation!AR37</f>
        <v>0</v>
      </c>
      <c r="AL37">
        <f>Programmation!AS37</f>
        <v>0</v>
      </c>
      <c r="AM37">
        <f>Programmation!AT37</f>
        <v>0</v>
      </c>
      <c r="AN37">
        <f>Programmation!AU37</f>
        <v>0</v>
      </c>
      <c r="AO37">
        <f>Programmation!AV37</f>
        <v>0</v>
      </c>
      <c r="AP37">
        <f>Programmation!AW37</f>
        <v>0</v>
      </c>
      <c r="AQ37">
        <f>Programmation!AX37</f>
        <v>0</v>
      </c>
      <c r="AR37">
        <f>Programmation!AY37</f>
        <v>0</v>
      </c>
      <c r="AS37">
        <f>Programmation!AZ37*10</f>
        <v>0</v>
      </c>
      <c r="AT37">
        <f>Programmation!BA37</f>
        <v>0</v>
      </c>
      <c r="AU37">
        <f>Programmation!BB37</f>
        <v>0</v>
      </c>
      <c r="AV37">
        <f>Programmation!BC37</f>
        <v>0</v>
      </c>
      <c r="AW37">
        <f>Programmation!BD37</f>
        <v>0</v>
      </c>
      <c r="AX37">
        <v>10</v>
      </c>
      <c r="AY37">
        <f>611.213+43.53*POWER(Programmation!BP37,1)+1.598*POWER(Programmation!BP37,2)+0.0159*POWER(Programmation!BP37,3)+0.000567*POWER(Programmation!BP37,4)</f>
        <v>0</v>
      </c>
      <c r="AZ37">
        <f>IF(K37=0,0,-241*(LOG10(AY37*K37/100)-2.7887)/((LOG10(AY37*K37/100)-2.7887-7.625)))</f>
        <v>0</v>
      </c>
      <c r="BA37">
        <f>0.622*AY38*K38/(10132500-AY38*K38)*1000</f>
        <v>0</v>
      </c>
      <c r="BB37">
        <v>450</v>
      </c>
      <c r="BC37">
        <v>0</v>
      </c>
      <c r="BD37">
        <v>45</v>
      </c>
      <c r="BE37">
        <v>0</v>
      </c>
      <c r="BF37">
        <f>E68/10</f>
        <v>0</v>
      </c>
      <c r="BG37">
        <f>Programmation!BL37</f>
        <v>0</v>
      </c>
    </row>
    <row r="38" spans="1:59">
      <c r="A38">
        <f>Programmation!A38</f>
        <v>0</v>
      </c>
      <c r="B38">
        <f>Programmation!D38</f>
        <v>0</v>
      </c>
      <c r="C38">
        <f>Programmation!B38</f>
        <v>0</v>
      </c>
      <c r="D38">
        <f>Programmation!C38</f>
        <v>0</v>
      </c>
      <c r="E38">
        <f>Programmation!F38*10</f>
        <v>0</v>
      </c>
      <c r="F38">
        <f>Programmation!G38</f>
        <v>0</v>
      </c>
      <c r="G38">
        <f>IF(Programmation!H38&lt;Config!$B$9,Config!$B$9,Programmation!H38)</f>
        <v>0</v>
      </c>
      <c r="H38">
        <f>IF(Programmation!I38&lt;Config!$B$10,Config!$B$10,Programmation!I38)</f>
        <v>0</v>
      </c>
      <c r="I38">
        <f>IF(Programmation!J38&lt;Config!$B$11,Config!$B$11,Programmation!J38)</f>
        <v>0</v>
      </c>
      <c r="J38">
        <f>Programmation!K38</f>
        <v>0</v>
      </c>
      <c r="K38">
        <f>IF(Programmation!L38&gt;95,95,Programmation!L38)</f>
        <v>0</v>
      </c>
      <c r="L38">
        <f>Programmation!M38</f>
        <v>0</v>
      </c>
      <c r="M38">
        <f>Programmation!N38</f>
        <v>0</v>
      </c>
      <c r="N38">
        <f>Programmation!O38</f>
        <v>0</v>
      </c>
      <c r="O38">
        <f>Programmation!P38</f>
        <v>0</v>
      </c>
      <c r="P38">
        <f>Programmation!Q38</f>
        <v>0</v>
      </c>
      <c r="Q38">
        <f>Programmation!R38</f>
        <v>0</v>
      </c>
      <c r="R38">
        <f>Programmation!S38</f>
        <v>0</v>
      </c>
      <c r="S38">
        <f>Programmation!T38</f>
        <v>0</v>
      </c>
      <c r="T38">
        <f>Programmation!U38</f>
        <v>0</v>
      </c>
      <c r="U38">
        <f>Programmation!V38</f>
        <v>0</v>
      </c>
      <c r="V38">
        <f>Programmation!W38</f>
        <v>0</v>
      </c>
      <c r="W38">
        <f>Programmation!X38</f>
        <v>0</v>
      </c>
      <c r="X38">
        <f>Programmation!Y38</f>
        <v>0</v>
      </c>
      <c r="Y38">
        <f>Programmation!Z38</f>
        <v>0</v>
      </c>
      <c r="Z38">
        <f>Programmation!AA38</f>
        <v>0</v>
      </c>
      <c r="AA38">
        <f>Programmation!AB38+Programmation!AC38*2+Programmation!AD38*4+Programmation!AE38*8</f>
        <v>0</v>
      </c>
      <c r="AB38">
        <f>Programmation!AG38</f>
        <v>0</v>
      </c>
      <c r="AC38">
        <f>Programmation!AJ38</f>
        <v>0</v>
      </c>
      <c r="AD38">
        <f>Programmation!AK38</f>
        <v>0</v>
      </c>
      <c r="AE38">
        <f>Programmation!AL38</f>
        <v>0</v>
      </c>
      <c r="AF38">
        <f>Programmation!AM38</f>
        <v>0</v>
      </c>
      <c r="AG38">
        <f>Programmation!AN38</f>
        <v>0</v>
      </c>
      <c r="AH38">
        <f>Programmation!AO38</f>
        <v>0</v>
      </c>
      <c r="AI38">
        <f>Programmation!AP38</f>
        <v>0</v>
      </c>
      <c r="AJ38">
        <f>Programmation!AQ38</f>
        <v>0</v>
      </c>
      <c r="AK38">
        <f>Programmation!AR38</f>
        <v>0</v>
      </c>
      <c r="AL38">
        <f>Programmation!AS38</f>
        <v>0</v>
      </c>
      <c r="AM38">
        <f>Programmation!AT38</f>
        <v>0</v>
      </c>
      <c r="AN38">
        <f>Programmation!AU38</f>
        <v>0</v>
      </c>
      <c r="AO38">
        <f>Programmation!AV38</f>
        <v>0</v>
      </c>
      <c r="AP38">
        <f>Programmation!AW38</f>
        <v>0</v>
      </c>
      <c r="AQ38">
        <f>Programmation!AX38</f>
        <v>0</v>
      </c>
      <c r="AR38">
        <f>Programmation!AY38</f>
        <v>0</v>
      </c>
      <c r="AS38">
        <f>Programmation!AZ38*10</f>
        <v>0</v>
      </c>
      <c r="AT38">
        <f>Programmation!BA38</f>
        <v>0</v>
      </c>
      <c r="AU38">
        <f>Programmation!BB38</f>
        <v>0</v>
      </c>
      <c r="AV38">
        <f>Programmation!BC38</f>
        <v>0</v>
      </c>
      <c r="AW38">
        <f>Programmation!BD38</f>
        <v>0</v>
      </c>
      <c r="AX38">
        <v>10</v>
      </c>
      <c r="AY38">
        <f>611.213+43.53*POWER(Programmation!BP38,1)+1.598*POWER(Programmation!BP38,2)+0.0159*POWER(Programmation!BP38,3)+0.000567*POWER(Programmation!BP38,4)</f>
        <v>0</v>
      </c>
      <c r="AZ38">
        <f>IF(K38=0,0,-241*(LOG10(AY38*K38/100)-2.7887)/((LOG10(AY38*K38/100)-2.7887-7.625)))</f>
        <v>0</v>
      </c>
      <c r="BA38">
        <f>0.622*AY39*K39/(10132500-AY39*K39)*1000</f>
        <v>0</v>
      </c>
      <c r="BB38">
        <v>450</v>
      </c>
      <c r="BC38">
        <v>0</v>
      </c>
      <c r="BD38">
        <v>45</v>
      </c>
      <c r="BE38">
        <v>0</v>
      </c>
      <c r="BF38">
        <f>E69/10</f>
        <v>0</v>
      </c>
      <c r="BG38">
        <f>Programmation!BL38</f>
        <v>0</v>
      </c>
    </row>
    <row r="39" spans="1:59">
      <c r="A39">
        <f>Programmation!A39</f>
        <v>0</v>
      </c>
      <c r="B39">
        <f>Programmation!D39</f>
        <v>0</v>
      </c>
      <c r="C39">
        <f>Programmation!B39</f>
        <v>0</v>
      </c>
      <c r="D39">
        <f>Programmation!C39</f>
        <v>0</v>
      </c>
      <c r="E39">
        <f>Programmation!F39*10</f>
        <v>0</v>
      </c>
      <c r="F39">
        <f>Programmation!G39</f>
        <v>0</v>
      </c>
      <c r="G39">
        <f>IF(Programmation!H39&lt;Config!$B$9,Config!$B$9,Programmation!H39)</f>
        <v>0</v>
      </c>
      <c r="H39">
        <f>IF(Programmation!I39&lt;Config!$B$10,Config!$B$10,Programmation!I39)</f>
        <v>0</v>
      </c>
      <c r="I39">
        <f>IF(Programmation!J39&lt;Config!$B$11,Config!$B$11,Programmation!J39)</f>
        <v>0</v>
      </c>
      <c r="J39">
        <f>Programmation!K39</f>
        <v>0</v>
      </c>
      <c r="K39">
        <f>IF(Programmation!L39&gt;95,95,Programmation!L39)</f>
        <v>0</v>
      </c>
      <c r="L39">
        <f>Programmation!M39</f>
        <v>0</v>
      </c>
      <c r="M39">
        <f>Programmation!N39</f>
        <v>0</v>
      </c>
      <c r="N39">
        <f>Programmation!O39</f>
        <v>0</v>
      </c>
      <c r="O39">
        <f>Programmation!P39</f>
        <v>0</v>
      </c>
      <c r="P39">
        <f>Programmation!Q39</f>
        <v>0</v>
      </c>
      <c r="Q39">
        <f>Programmation!R39</f>
        <v>0</v>
      </c>
      <c r="R39">
        <f>Programmation!S39</f>
        <v>0</v>
      </c>
      <c r="S39">
        <f>Programmation!T39</f>
        <v>0</v>
      </c>
      <c r="T39">
        <f>Programmation!U39</f>
        <v>0</v>
      </c>
      <c r="U39">
        <f>Programmation!V39</f>
        <v>0</v>
      </c>
      <c r="V39">
        <f>Programmation!W39</f>
        <v>0</v>
      </c>
      <c r="W39">
        <f>Programmation!X39</f>
        <v>0</v>
      </c>
      <c r="X39">
        <f>Programmation!Y39</f>
        <v>0</v>
      </c>
      <c r="Y39">
        <f>Programmation!Z39</f>
        <v>0</v>
      </c>
      <c r="Z39">
        <f>Programmation!AA39</f>
        <v>0</v>
      </c>
      <c r="AA39">
        <f>Programmation!AB39+Programmation!AC39*2+Programmation!AD39*4+Programmation!AE39*8</f>
        <v>0</v>
      </c>
      <c r="AB39">
        <f>Programmation!AG39</f>
        <v>0</v>
      </c>
      <c r="AC39">
        <f>Programmation!AJ39</f>
        <v>0</v>
      </c>
      <c r="AD39">
        <f>Programmation!AK39</f>
        <v>0</v>
      </c>
      <c r="AE39">
        <f>Programmation!AL39</f>
        <v>0</v>
      </c>
      <c r="AF39">
        <f>Programmation!AM39</f>
        <v>0</v>
      </c>
      <c r="AG39">
        <f>Programmation!AN39</f>
        <v>0</v>
      </c>
      <c r="AH39">
        <f>Programmation!AO39</f>
        <v>0</v>
      </c>
      <c r="AI39">
        <f>Programmation!AP39</f>
        <v>0</v>
      </c>
      <c r="AJ39">
        <f>Programmation!AQ39</f>
        <v>0</v>
      </c>
      <c r="AK39">
        <f>Programmation!AR39</f>
        <v>0</v>
      </c>
      <c r="AL39">
        <f>Programmation!AS39</f>
        <v>0</v>
      </c>
      <c r="AM39">
        <f>Programmation!AT39</f>
        <v>0</v>
      </c>
      <c r="AN39">
        <f>Programmation!AU39</f>
        <v>0</v>
      </c>
      <c r="AO39">
        <f>Programmation!AV39</f>
        <v>0</v>
      </c>
      <c r="AP39">
        <f>Programmation!AW39</f>
        <v>0</v>
      </c>
      <c r="AQ39">
        <f>Programmation!AX39</f>
        <v>0</v>
      </c>
      <c r="AR39">
        <f>Programmation!AY39</f>
        <v>0</v>
      </c>
      <c r="AS39">
        <f>Programmation!AZ39*10</f>
        <v>0</v>
      </c>
      <c r="AT39">
        <f>Programmation!BA39</f>
        <v>0</v>
      </c>
      <c r="AU39">
        <f>Programmation!BB39</f>
        <v>0</v>
      </c>
      <c r="AV39">
        <f>Programmation!BC39</f>
        <v>0</v>
      </c>
      <c r="AW39">
        <f>Programmation!BD39</f>
        <v>0</v>
      </c>
      <c r="AX39">
        <v>10</v>
      </c>
      <c r="AY39">
        <f>611.213+43.53*POWER(Programmation!BP39,1)+1.598*POWER(Programmation!BP39,2)+0.0159*POWER(Programmation!BP39,3)+0.000567*POWER(Programmation!BP39,4)</f>
        <v>0</v>
      </c>
      <c r="AZ39">
        <f>IF(K39=0,0,-241*(LOG10(AY39*K39/100)-2.7887)/((LOG10(AY39*K39/100)-2.7887-7.625)))</f>
        <v>0</v>
      </c>
      <c r="BA39">
        <f>0.622*AY40*K40/(10132500-AY40*K40)*1000</f>
        <v>0</v>
      </c>
      <c r="BB39">
        <v>450</v>
      </c>
      <c r="BC39">
        <v>0</v>
      </c>
      <c r="BD39">
        <v>45</v>
      </c>
      <c r="BE39">
        <v>0</v>
      </c>
      <c r="BF39">
        <f>E70/10</f>
        <v>0</v>
      </c>
      <c r="BG39">
        <f>Programmation!BL39</f>
        <v>0</v>
      </c>
    </row>
    <row r="40" spans="1:59">
      <c r="A40">
        <f>Programmation!A40</f>
        <v>0</v>
      </c>
      <c r="B40">
        <f>Programmation!D40</f>
        <v>0</v>
      </c>
      <c r="C40">
        <f>Programmation!B40</f>
        <v>0</v>
      </c>
      <c r="D40">
        <f>Programmation!C40</f>
        <v>0</v>
      </c>
      <c r="E40">
        <f>Programmation!F40*10</f>
        <v>0</v>
      </c>
      <c r="F40">
        <f>Programmation!G40</f>
        <v>0</v>
      </c>
      <c r="G40">
        <f>IF(Programmation!H40&lt;Config!$B$9,Config!$B$9,Programmation!H40)</f>
        <v>0</v>
      </c>
      <c r="H40">
        <f>IF(Programmation!I40&lt;Config!$B$10,Config!$B$10,Programmation!I40)</f>
        <v>0</v>
      </c>
      <c r="I40">
        <f>IF(Programmation!J40&lt;Config!$B$11,Config!$B$11,Programmation!J40)</f>
        <v>0</v>
      </c>
      <c r="J40">
        <f>Programmation!K40</f>
        <v>0</v>
      </c>
      <c r="K40">
        <f>IF(Programmation!L40&gt;95,95,Programmation!L40)</f>
        <v>0</v>
      </c>
      <c r="L40">
        <f>Programmation!M40</f>
        <v>0</v>
      </c>
      <c r="M40">
        <f>Programmation!N40</f>
        <v>0</v>
      </c>
      <c r="N40">
        <f>Programmation!O40</f>
        <v>0</v>
      </c>
      <c r="O40">
        <f>Programmation!P40</f>
        <v>0</v>
      </c>
      <c r="P40">
        <f>Programmation!Q40</f>
        <v>0</v>
      </c>
      <c r="Q40">
        <f>Programmation!R40</f>
        <v>0</v>
      </c>
      <c r="R40">
        <f>Programmation!S40</f>
        <v>0</v>
      </c>
      <c r="S40">
        <f>Programmation!T40</f>
        <v>0</v>
      </c>
      <c r="T40">
        <f>Programmation!U40</f>
        <v>0</v>
      </c>
      <c r="U40">
        <f>Programmation!V40</f>
        <v>0</v>
      </c>
      <c r="V40">
        <f>Programmation!W40</f>
        <v>0</v>
      </c>
      <c r="W40">
        <f>Programmation!X40</f>
        <v>0</v>
      </c>
      <c r="X40">
        <f>Programmation!Y40</f>
        <v>0</v>
      </c>
      <c r="Y40">
        <f>Programmation!Z40</f>
        <v>0</v>
      </c>
      <c r="Z40">
        <f>Programmation!AA40</f>
        <v>0</v>
      </c>
      <c r="AA40">
        <f>Programmation!AB40+Programmation!AC40*2+Programmation!AD40*4+Programmation!AE40*8</f>
        <v>0</v>
      </c>
      <c r="AB40">
        <f>Programmation!AG40</f>
        <v>0</v>
      </c>
      <c r="AC40">
        <f>Programmation!AJ40</f>
        <v>0</v>
      </c>
      <c r="AD40">
        <f>Programmation!AK40</f>
        <v>0</v>
      </c>
      <c r="AE40">
        <f>Programmation!AL40</f>
        <v>0</v>
      </c>
      <c r="AF40">
        <f>Programmation!AM40</f>
        <v>0</v>
      </c>
      <c r="AG40">
        <f>Programmation!AN40</f>
        <v>0</v>
      </c>
      <c r="AH40">
        <f>Programmation!AO40</f>
        <v>0</v>
      </c>
      <c r="AI40">
        <f>Programmation!AP40</f>
        <v>0</v>
      </c>
      <c r="AJ40">
        <f>Programmation!AQ40</f>
        <v>0</v>
      </c>
      <c r="AK40">
        <f>Programmation!AR40</f>
        <v>0</v>
      </c>
      <c r="AL40">
        <f>Programmation!AS40</f>
        <v>0</v>
      </c>
      <c r="AM40">
        <f>Programmation!AT40</f>
        <v>0</v>
      </c>
      <c r="AN40">
        <f>Programmation!AU40</f>
        <v>0</v>
      </c>
      <c r="AO40">
        <f>Programmation!AV40</f>
        <v>0</v>
      </c>
      <c r="AP40">
        <f>Programmation!AW40</f>
        <v>0</v>
      </c>
      <c r="AQ40">
        <f>Programmation!AX40</f>
        <v>0</v>
      </c>
      <c r="AR40">
        <f>Programmation!AY40</f>
        <v>0</v>
      </c>
      <c r="AS40">
        <f>Programmation!AZ40*10</f>
        <v>0</v>
      </c>
      <c r="AT40">
        <f>Programmation!BA40</f>
        <v>0</v>
      </c>
      <c r="AU40">
        <f>Programmation!BB40</f>
        <v>0</v>
      </c>
      <c r="AV40">
        <f>Programmation!BC40</f>
        <v>0</v>
      </c>
      <c r="AW40">
        <f>Programmation!BD40</f>
        <v>0</v>
      </c>
      <c r="AX40">
        <v>10</v>
      </c>
      <c r="AY40">
        <f>611.213+43.53*POWER(Programmation!BP40,1)+1.598*POWER(Programmation!BP40,2)+0.0159*POWER(Programmation!BP40,3)+0.000567*POWER(Programmation!BP40,4)</f>
        <v>0</v>
      </c>
      <c r="AZ40">
        <f>IF(K40=0,0,-241*(LOG10(AY40*K40/100)-2.7887)/((LOG10(AY40*K40/100)-2.7887-7.625)))</f>
        <v>0</v>
      </c>
      <c r="BA40">
        <f>0.622*AY41*K41/(10132500-AY41*K41)*1000</f>
        <v>0</v>
      </c>
      <c r="BB40">
        <v>450</v>
      </c>
      <c r="BC40">
        <v>0</v>
      </c>
      <c r="BD40">
        <v>45</v>
      </c>
      <c r="BE40">
        <v>0</v>
      </c>
      <c r="BF40">
        <f>E71/10</f>
        <v>0</v>
      </c>
      <c r="BG40">
        <f>Programmation!BL40</f>
        <v>0</v>
      </c>
    </row>
    <row r="41" spans="1:59">
      <c r="A41">
        <f>Programmation!A41</f>
        <v>0</v>
      </c>
      <c r="B41">
        <f>Programmation!D41</f>
        <v>0</v>
      </c>
      <c r="C41">
        <f>Programmation!B41</f>
        <v>0</v>
      </c>
      <c r="D41">
        <f>Programmation!C41</f>
        <v>0</v>
      </c>
      <c r="E41">
        <f>Programmation!F41*10</f>
        <v>0</v>
      </c>
      <c r="F41">
        <f>Programmation!G41</f>
        <v>0</v>
      </c>
      <c r="G41">
        <f>IF(Programmation!H41&lt;Config!$B$9,Config!$B$9,Programmation!H41)</f>
        <v>0</v>
      </c>
      <c r="H41">
        <f>IF(Programmation!I41&lt;Config!$B$10,Config!$B$10,Programmation!I41)</f>
        <v>0</v>
      </c>
      <c r="I41">
        <f>IF(Programmation!J41&lt;Config!$B$11,Config!$B$11,Programmation!J41)</f>
        <v>0</v>
      </c>
      <c r="J41">
        <f>Programmation!K41</f>
        <v>0</v>
      </c>
      <c r="K41">
        <f>IF(Programmation!L41&gt;95,95,Programmation!L41)</f>
        <v>0</v>
      </c>
      <c r="L41">
        <f>Programmation!M41</f>
        <v>0</v>
      </c>
      <c r="M41">
        <f>Programmation!N41</f>
        <v>0</v>
      </c>
      <c r="N41">
        <f>Programmation!O41</f>
        <v>0</v>
      </c>
      <c r="O41">
        <f>Programmation!P41</f>
        <v>0</v>
      </c>
      <c r="P41">
        <f>Programmation!Q41</f>
        <v>0</v>
      </c>
      <c r="Q41">
        <f>Programmation!R41</f>
        <v>0</v>
      </c>
      <c r="R41">
        <f>Programmation!S41</f>
        <v>0</v>
      </c>
      <c r="S41">
        <f>Programmation!T41</f>
        <v>0</v>
      </c>
      <c r="T41">
        <f>Programmation!U41</f>
        <v>0</v>
      </c>
      <c r="U41">
        <f>Programmation!V41</f>
        <v>0</v>
      </c>
      <c r="V41">
        <f>Programmation!W41</f>
        <v>0</v>
      </c>
      <c r="W41">
        <f>Programmation!X41</f>
        <v>0</v>
      </c>
      <c r="X41">
        <f>Programmation!Y41</f>
        <v>0</v>
      </c>
      <c r="Y41">
        <f>Programmation!Z41</f>
        <v>0</v>
      </c>
      <c r="Z41">
        <f>Programmation!AA41</f>
        <v>0</v>
      </c>
      <c r="AA41">
        <f>Programmation!AB41+Programmation!AC41*2+Programmation!AD41*4+Programmation!AE41*8</f>
        <v>0</v>
      </c>
      <c r="AB41">
        <f>Programmation!AG41</f>
        <v>0</v>
      </c>
      <c r="AC41">
        <f>Programmation!AJ41</f>
        <v>0</v>
      </c>
      <c r="AD41">
        <f>Programmation!AK41</f>
        <v>0</v>
      </c>
      <c r="AE41">
        <f>Programmation!AL41</f>
        <v>0</v>
      </c>
      <c r="AF41">
        <f>Programmation!AM41</f>
        <v>0</v>
      </c>
      <c r="AG41">
        <f>Programmation!AN41</f>
        <v>0</v>
      </c>
      <c r="AH41">
        <f>Programmation!AO41</f>
        <v>0</v>
      </c>
      <c r="AI41">
        <f>Programmation!AP41</f>
        <v>0</v>
      </c>
      <c r="AJ41">
        <f>Programmation!AQ41</f>
        <v>0</v>
      </c>
      <c r="AK41">
        <f>Programmation!AR41</f>
        <v>0</v>
      </c>
      <c r="AL41">
        <f>Programmation!AS41</f>
        <v>0</v>
      </c>
      <c r="AM41">
        <f>Programmation!AT41</f>
        <v>0</v>
      </c>
      <c r="AN41">
        <f>Programmation!AU41</f>
        <v>0</v>
      </c>
      <c r="AO41">
        <f>Programmation!AV41</f>
        <v>0</v>
      </c>
      <c r="AP41">
        <f>Programmation!AW41</f>
        <v>0</v>
      </c>
      <c r="AQ41">
        <f>Programmation!AX41</f>
        <v>0</v>
      </c>
      <c r="AR41">
        <f>Programmation!AY41</f>
        <v>0</v>
      </c>
      <c r="AS41">
        <f>Programmation!AZ41*10</f>
        <v>0</v>
      </c>
      <c r="AT41">
        <f>Programmation!BA41</f>
        <v>0</v>
      </c>
      <c r="AU41">
        <f>Programmation!BB41</f>
        <v>0</v>
      </c>
      <c r="AV41">
        <f>Programmation!BC41</f>
        <v>0</v>
      </c>
      <c r="AW41">
        <f>Programmation!BD41</f>
        <v>0</v>
      </c>
      <c r="AX41">
        <v>10</v>
      </c>
      <c r="AY41">
        <f>611.213+43.53*POWER(Programmation!BP41,1)+1.598*POWER(Programmation!BP41,2)+0.0159*POWER(Programmation!BP41,3)+0.000567*POWER(Programmation!BP41,4)</f>
        <v>0</v>
      </c>
      <c r="AZ41">
        <f>IF(K41=0,0,-241*(LOG10(AY41*K41/100)-2.7887)/((LOG10(AY41*K41/100)-2.7887-7.625)))</f>
        <v>0</v>
      </c>
      <c r="BA41">
        <f>0.622*AY42*K42/(10132500-AY42*K42)*1000</f>
        <v>0</v>
      </c>
      <c r="BB41">
        <v>450</v>
      </c>
      <c r="BC41">
        <v>0</v>
      </c>
      <c r="BD41">
        <v>45</v>
      </c>
      <c r="BE41">
        <v>0</v>
      </c>
      <c r="BF41">
        <f>E72/10</f>
        <v>0</v>
      </c>
      <c r="BG41">
        <f>Programmation!BL41</f>
        <v>0</v>
      </c>
    </row>
    <row r="42" spans="1:59">
      <c r="A42">
        <f>Programmation!A42</f>
        <v>0</v>
      </c>
      <c r="B42">
        <f>Programmation!D42</f>
        <v>0</v>
      </c>
      <c r="C42">
        <f>Programmation!B42</f>
        <v>0</v>
      </c>
      <c r="D42">
        <f>Programmation!C42</f>
        <v>0</v>
      </c>
      <c r="E42">
        <f>Programmation!F42*10</f>
        <v>0</v>
      </c>
      <c r="F42">
        <f>Programmation!G42</f>
        <v>0</v>
      </c>
      <c r="G42">
        <f>IF(Programmation!H42&lt;Config!$B$9,Config!$B$9,Programmation!H42)</f>
        <v>0</v>
      </c>
      <c r="H42">
        <f>IF(Programmation!I42&lt;Config!$B$10,Config!$B$10,Programmation!I42)</f>
        <v>0</v>
      </c>
      <c r="I42">
        <f>IF(Programmation!J42&lt;Config!$B$11,Config!$B$11,Programmation!J42)</f>
        <v>0</v>
      </c>
      <c r="J42">
        <f>Programmation!K42</f>
        <v>0</v>
      </c>
      <c r="K42">
        <f>IF(Programmation!L42&gt;95,95,Programmation!L42)</f>
        <v>0</v>
      </c>
      <c r="L42">
        <f>Programmation!M42</f>
        <v>0</v>
      </c>
      <c r="M42">
        <f>Programmation!N42</f>
        <v>0</v>
      </c>
      <c r="N42">
        <f>Programmation!O42</f>
        <v>0</v>
      </c>
      <c r="O42">
        <f>Programmation!P42</f>
        <v>0</v>
      </c>
      <c r="P42">
        <f>Programmation!Q42</f>
        <v>0</v>
      </c>
      <c r="Q42">
        <f>Programmation!R42</f>
        <v>0</v>
      </c>
      <c r="R42">
        <f>Programmation!S42</f>
        <v>0</v>
      </c>
      <c r="S42">
        <f>Programmation!T42</f>
        <v>0</v>
      </c>
      <c r="T42">
        <f>Programmation!U42</f>
        <v>0</v>
      </c>
      <c r="U42">
        <f>Programmation!V42</f>
        <v>0</v>
      </c>
      <c r="V42">
        <f>Programmation!W42</f>
        <v>0</v>
      </c>
      <c r="W42">
        <f>Programmation!X42</f>
        <v>0</v>
      </c>
      <c r="X42">
        <f>Programmation!Y42</f>
        <v>0</v>
      </c>
      <c r="Y42">
        <f>Programmation!Z42</f>
        <v>0</v>
      </c>
      <c r="Z42">
        <f>Programmation!AA42</f>
        <v>0</v>
      </c>
      <c r="AA42">
        <f>Programmation!AB42+Programmation!AC42*2+Programmation!AD42*4+Programmation!AE42*8</f>
        <v>0</v>
      </c>
      <c r="AB42">
        <f>Programmation!AG42</f>
        <v>0</v>
      </c>
      <c r="AC42">
        <f>Programmation!AJ42</f>
        <v>0</v>
      </c>
      <c r="AD42">
        <f>Programmation!AK42</f>
        <v>0</v>
      </c>
      <c r="AE42">
        <f>Programmation!AL42</f>
        <v>0</v>
      </c>
      <c r="AF42">
        <f>Programmation!AM42</f>
        <v>0</v>
      </c>
      <c r="AG42">
        <f>Programmation!AN42</f>
        <v>0</v>
      </c>
      <c r="AH42">
        <f>Programmation!AO42</f>
        <v>0</v>
      </c>
      <c r="AI42">
        <f>Programmation!AP42</f>
        <v>0</v>
      </c>
      <c r="AJ42">
        <f>Programmation!AQ42</f>
        <v>0</v>
      </c>
      <c r="AK42">
        <f>Programmation!AR42</f>
        <v>0</v>
      </c>
      <c r="AL42">
        <f>Programmation!AS42</f>
        <v>0</v>
      </c>
      <c r="AM42">
        <f>Programmation!AT42</f>
        <v>0</v>
      </c>
      <c r="AN42">
        <f>Programmation!AU42</f>
        <v>0</v>
      </c>
      <c r="AO42">
        <f>Programmation!AV42</f>
        <v>0</v>
      </c>
      <c r="AP42">
        <f>Programmation!AW42</f>
        <v>0</v>
      </c>
      <c r="AQ42">
        <f>Programmation!AX42</f>
        <v>0</v>
      </c>
      <c r="AR42">
        <f>Programmation!AY42</f>
        <v>0</v>
      </c>
      <c r="AS42">
        <f>Programmation!AZ42*10</f>
        <v>0</v>
      </c>
      <c r="AT42">
        <f>Programmation!BA42</f>
        <v>0</v>
      </c>
      <c r="AU42">
        <f>Programmation!BB42</f>
        <v>0</v>
      </c>
      <c r="AV42">
        <f>Programmation!BC42</f>
        <v>0</v>
      </c>
      <c r="AW42">
        <f>Programmation!BD42</f>
        <v>0</v>
      </c>
      <c r="AX42">
        <v>10</v>
      </c>
      <c r="AY42">
        <f>611.213+43.53*POWER(Programmation!BP42,1)+1.598*POWER(Programmation!BP42,2)+0.0159*POWER(Programmation!BP42,3)+0.000567*POWER(Programmation!BP42,4)</f>
        <v>0</v>
      </c>
      <c r="AZ42">
        <f>IF(K42=0,0,-241*(LOG10(AY42*K42/100)-2.7887)/((LOG10(AY42*K42/100)-2.7887-7.625)))</f>
        <v>0</v>
      </c>
      <c r="BA42">
        <f>0.622*AY43*K43/(10132500-AY43*K43)*1000</f>
        <v>0</v>
      </c>
      <c r="BB42">
        <v>450</v>
      </c>
      <c r="BC42">
        <v>0</v>
      </c>
      <c r="BD42">
        <v>45</v>
      </c>
      <c r="BE42">
        <v>0</v>
      </c>
      <c r="BF42">
        <f>E73/10</f>
        <v>0</v>
      </c>
      <c r="BG42">
        <f>Programmation!BL42</f>
        <v>0</v>
      </c>
    </row>
    <row r="43" spans="1:59">
      <c r="A43">
        <f>Programmation!A43</f>
        <v>0</v>
      </c>
      <c r="B43">
        <f>Programmation!D43</f>
        <v>0</v>
      </c>
      <c r="C43">
        <f>Programmation!B43</f>
        <v>0</v>
      </c>
      <c r="D43">
        <f>Programmation!C43</f>
        <v>0</v>
      </c>
      <c r="E43">
        <f>Programmation!F43*10</f>
        <v>0</v>
      </c>
      <c r="F43">
        <f>Programmation!G43</f>
        <v>0</v>
      </c>
      <c r="G43">
        <f>IF(Programmation!H43&lt;Config!$B$9,Config!$B$9,Programmation!H43)</f>
        <v>0</v>
      </c>
      <c r="H43">
        <f>IF(Programmation!I43&lt;Config!$B$10,Config!$B$10,Programmation!I43)</f>
        <v>0</v>
      </c>
      <c r="I43">
        <f>IF(Programmation!J43&lt;Config!$B$11,Config!$B$11,Programmation!J43)</f>
        <v>0</v>
      </c>
      <c r="J43">
        <f>Programmation!K43</f>
        <v>0</v>
      </c>
      <c r="K43">
        <f>IF(Programmation!L43&gt;95,95,Programmation!L43)</f>
        <v>0</v>
      </c>
      <c r="L43">
        <f>Programmation!M43</f>
        <v>0</v>
      </c>
      <c r="M43">
        <f>Programmation!N43</f>
        <v>0</v>
      </c>
      <c r="N43">
        <f>Programmation!O43</f>
        <v>0</v>
      </c>
      <c r="O43">
        <f>Programmation!P43</f>
        <v>0</v>
      </c>
      <c r="P43">
        <f>Programmation!Q43</f>
        <v>0</v>
      </c>
      <c r="Q43">
        <f>Programmation!R43</f>
        <v>0</v>
      </c>
      <c r="R43">
        <f>Programmation!S43</f>
        <v>0</v>
      </c>
      <c r="S43">
        <f>Programmation!T43</f>
        <v>0</v>
      </c>
      <c r="T43">
        <f>Programmation!U43</f>
        <v>0</v>
      </c>
      <c r="U43">
        <f>Programmation!V43</f>
        <v>0</v>
      </c>
      <c r="V43">
        <f>Programmation!W43</f>
        <v>0</v>
      </c>
      <c r="W43">
        <f>Programmation!X43</f>
        <v>0</v>
      </c>
      <c r="X43">
        <f>Programmation!Y43</f>
        <v>0</v>
      </c>
      <c r="Y43">
        <f>Programmation!Z43</f>
        <v>0</v>
      </c>
      <c r="Z43">
        <f>Programmation!AA43</f>
        <v>0</v>
      </c>
      <c r="AA43">
        <f>Programmation!AB43+Programmation!AC43*2+Programmation!AD43*4+Programmation!AE43*8</f>
        <v>0</v>
      </c>
      <c r="AB43">
        <f>Programmation!AG43</f>
        <v>0</v>
      </c>
      <c r="AC43">
        <f>Programmation!AJ43</f>
        <v>0</v>
      </c>
      <c r="AD43">
        <f>Programmation!AK43</f>
        <v>0</v>
      </c>
      <c r="AE43">
        <f>Programmation!AL43</f>
        <v>0</v>
      </c>
      <c r="AF43">
        <f>Programmation!AM43</f>
        <v>0</v>
      </c>
      <c r="AG43">
        <f>Programmation!AN43</f>
        <v>0</v>
      </c>
      <c r="AH43">
        <f>Programmation!AO43</f>
        <v>0</v>
      </c>
      <c r="AI43">
        <f>Programmation!AP43</f>
        <v>0</v>
      </c>
      <c r="AJ43">
        <f>Programmation!AQ43</f>
        <v>0</v>
      </c>
      <c r="AK43">
        <f>Programmation!AR43</f>
        <v>0</v>
      </c>
      <c r="AL43">
        <f>Programmation!AS43</f>
        <v>0</v>
      </c>
      <c r="AM43">
        <f>Programmation!AT43</f>
        <v>0</v>
      </c>
      <c r="AN43">
        <f>Programmation!AU43</f>
        <v>0</v>
      </c>
      <c r="AO43">
        <f>Programmation!AV43</f>
        <v>0</v>
      </c>
      <c r="AP43">
        <f>Programmation!AW43</f>
        <v>0</v>
      </c>
      <c r="AQ43">
        <f>Programmation!AX43</f>
        <v>0</v>
      </c>
      <c r="AR43">
        <f>Programmation!AY43</f>
        <v>0</v>
      </c>
      <c r="AS43">
        <f>Programmation!AZ43*10</f>
        <v>0</v>
      </c>
      <c r="AT43">
        <f>Programmation!BA43</f>
        <v>0</v>
      </c>
      <c r="AU43">
        <f>Programmation!BB43</f>
        <v>0</v>
      </c>
      <c r="AV43">
        <f>Programmation!BC43</f>
        <v>0</v>
      </c>
      <c r="AW43">
        <f>Programmation!BD43</f>
        <v>0</v>
      </c>
      <c r="AX43">
        <v>10</v>
      </c>
      <c r="AY43">
        <f>611.213+43.53*POWER(Programmation!BP43,1)+1.598*POWER(Programmation!BP43,2)+0.0159*POWER(Programmation!BP43,3)+0.000567*POWER(Programmation!BP43,4)</f>
        <v>0</v>
      </c>
      <c r="AZ43">
        <f>IF(K43=0,0,-241*(LOG10(AY43*K43/100)-2.7887)/((LOG10(AY43*K43/100)-2.7887-7.625)))</f>
        <v>0</v>
      </c>
      <c r="BA43">
        <f>0.622*AY44*K44/(10132500-AY44*K44)*1000</f>
        <v>0</v>
      </c>
      <c r="BB43">
        <v>450</v>
      </c>
      <c r="BC43">
        <v>0</v>
      </c>
      <c r="BD43">
        <v>45</v>
      </c>
      <c r="BE43">
        <v>0</v>
      </c>
      <c r="BF43">
        <f>E74/10</f>
        <v>0</v>
      </c>
      <c r="BG43">
        <f>Programmation!BL43</f>
        <v>0</v>
      </c>
    </row>
    <row r="44" spans="1:59">
      <c r="A44">
        <f>Programmation!A44</f>
        <v>0</v>
      </c>
      <c r="B44">
        <f>Programmation!D44</f>
        <v>0</v>
      </c>
      <c r="C44">
        <f>Programmation!B44</f>
        <v>0</v>
      </c>
      <c r="D44">
        <f>Programmation!C44</f>
        <v>0</v>
      </c>
      <c r="E44">
        <f>Programmation!F44*10</f>
        <v>0</v>
      </c>
      <c r="F44">
        <f>Programmation!G44</f>
        <v>0</v>
      </c>
      <c r="G44">
        <f>IF(Programmation!H44&lt;Config!$B$9,Config!$B$9,Programmation!H44)</f>
        <v>0</v>
      </c>
      <c r="H44">
        <f>IF(Programmation!I44&lt;Config!$B$10,Config!$B$10,Programmation!I44)</f>
        <v>0</v>
      </c>
      <c r="I44">
        <f>IF(Programmation!J44&lt;Config!$B$11,Config!$B$11,Programmation!J44)</f>
        <v>0</v>
      </c>
      <c r="J44">
        <f>Programmation!K44</f>
        <v>0</v>
      </c>
      <c r="K44">
        <f>IF(Programmation!L44&gt;95,95,Programmation!L44)</f>
        <v>0</v>
      </c>
      <c r="L44">
        <f>Programmation!M44</f>
        <v>0</v>
      </c>
      <c r="M44">
        <f>Programmation!N44</f>
        <v>0</v>
      </c>
      <c r="N44">
        <f>Programmation!O44</f>
        <v>0</v>
      </c>
      <c r="O44">
        <f>Programmation!P44</f>
        <v>0</v>
      </c>
      <c r="P44">
        <f>Programmation!Q44</f>
        <v>0</v>
      </c>
      <c r="Q44">
        <f>Programmation!R44</f>
        <v>0</v>
      </c>
      <c r="R44">
        <f>Programmation!S44</f>
        <v>0</v>
      </c>
      <c r="S44">
        <f>Programmation!T44</f>
        <v>0</v>
      </c>
      <c r="T44">
        <f>Programmation!U44</f>
        <v>0</v>
      </c>
      <c r="U44">
        <f>Programmation!V44</f>
        <v>0</v>
      </c>
      <c r="V44">
        <f>Programmation!W44</f>
        <v>0</v>
      </c>
      <c r="W44">
        <f>Programmation!X44</f>
        <v>0</v>
      </c>
      <c r="X44">
        <f>Programmation!Y44</f>
        <v>0</v>
      </c>
      <c r="Y44">
        <f>Programmation!Z44</f>
        <v>0</v>
      </c>
      <c r="Z44">
        <f>Programmation!AA44</f>
        <v>0</v>
      </c>
      <c r="AA44">
        <f>Programmation!AB44+Programmation!AC44*2+Programmation!AD44*4+Programmation!AE44*8</f>
        <v>0</v>
      </c>
      <c r="AB44">
        <f>Programmation!AG44</f>
        <v>0</v>
      </c>
      <c r="AC44">
        <f>Programmation!AJ44</f>
        <v>0</v>
      </c>
      <c r="AD44">
        <f>Programmation!AK44</f>
        <v>0</v>
      </c>
      <c r="AE44">
        <f>Programmation!AL44</f>
        <v>0</v>
      </c>
      <c r="AF44">
        <f>Programmation!AM44</f>
        <v>0</v>
      </c>
      <c r="AG44">
        <f>Programmation!AN44</f>
        <v>0</v>
      </c>
      <c r="AH44">
        <f>Programmation!AO44</f>
        <v>0</v>
      </c>
      <c r="AI44">
        <f>Programmation!AP44</f>
        <v>0</v>
      </c>
      <c r="AJ44">
        <f>Programmation!AQ44</f>
        <v>0</v>
      </c>
      <c r="AK44">
        <f>Programmation!AR44</f>
        <v>0</v>
      </c>
      <c r="AL44">
        <f>Programmation!AS44</f>
        <v>0</v>
      </c>
      <c r="AM44">
        <f>Programmation!AT44</f>
        <v>0</v>
      </c>
      <c r="AN44">
        <f>Programmation!AU44</f>
        <v>0</v>
      </c>
      <c r="AO44">
        <f>Programmation!AV44</f>
        <v>0</v>
      </c>
      <c r="AP44">
        <f>Programmation!AW44</f>
        <v>0</v>
      </c>
      <c r="AQ44">
        <f>Programmation!AX44</f>
        <v>0</v>
      </c>
      <c r="AR44">
        <f>Programmation!AY44</f>
        <v>0</v>
      </c>
      <c r="AS44">
        <f>Programmation!AZ44*10</f>
        <v>0</v>
      </c>
      <c r="AT44">
        <f>Programmation!BA44</f>
        <v>0</v>
      </c>
      <c r="AU44">
        <f>Programmation!BB44</f>
        <v>0</v>
      </c>
      <c r="AV44">
        <f>Programmation!BC44</f>
        <v>0</v>
      </c>
      <c r="AW44">
        <f>Programmation!BD44</f>
        <v>0</v>
      </c>
      <c r="AX44">
        <v>10</v>
      </c>
      <c r="AY44">
        <f>611.213+43.53*POWER(Programmation!BP44,1)+1.598*POWER(Programmation!BP44,2)+0.0159*POWER(Programmation!BP44,3)+0.000567*POWER(Programmation!BP44,4)</f>
        <v>0</v>
      </c>
      <c r="AZ44">
        <f>IF(K44=0,0,-241*(LOG10(AY44*K44/100)-2.7887)/((LOG10(AY44*K44/100)-2.7887-7.625)))</f>
        <v>0</v>
      </c>
      <c r="BA44">
        <f>0.622*AY45*K45/(10132500-AY45*K45)*1000</f>
        <v>0</v>
      </c>
      <c r="BB44">
        <v>450</v>
      </c>
      <c r="BC44">
        <v>0</v>
      </c>
      <c r="BD44">
        <v>45</v>
      </c>
      <c r="BE44">
        <v>0</v>
      </c>
      <c r="BF44">
        <f>E75/10</f>
        <v>0</v>
      </c>
      <c r="BG44">
        <f>Programmation!BL44</f>
        <v>0</v>
      </c>
    </row>
    <row r="45" spans="1:59">
      <c r="A45">
        <f>Programmation!A45</f>
        <v>0</v>
      </c>
      <c r="B45">
        <f>Programmation!D45</f>
        <v>0</v>
      </c>
      <c r="C45">
        <f>Programmation!B45</f>
        <v>0</v>
      </c>
      <c r="D45">
        <f>Programmation!C45</f>
        <v>0</v>
      </c>
      <c r="E45">
        <f>Programmation!F45*10</f>
        <v>0</v>
      </c>
      <c r="F45">
        <f>Programmation!G45</f>
        <v>0</v>
      </c>
      <c r="G45">
        <f>IF(Programmation!H45&lt;Config!$B$9,Config!$B$9,Programmation!H45)</f>
        <v>0</v>
      </c>
      <c r="H45">
        <f>IF(Programmation!I45&lt;Config!$B$10,Config!$B$10,Programmation!I45)</f>
        <v>0</v>
      </c>
      <c r="I45">
        <f>IF(Programmation!J45&lt;Config!$B$11,Config!$B$11,Programmation!J45)</f>
        <v>0</v>
      </c>
      <c r="J45">
        <f>Programmation!K45</f>
        <v>0</v>
      </c>
      <c r="K45">
        <f>IF(Programmation!L45&gt;95,95,Programmation!L45)</f>
        <v>0</v>
      </c>
      <c r="L45">
        <f>Programmation!M45</f>
        <v>0</v>
      </c>
      <c r="M45">
        <f>Programmation!N45</f>
        <v>0</v>
      </c>
      <c r="N45">
        <f>Programmation!O45</f>
        <v>0</v>
      </c>
      <c r="O45">
        <f>Programmation!P45</f>
        <v>0</v>
      </c>
      <c r="P45">
        <f>Programmation!Q45</f>
        <v>0</v>
      </c>
      <c r="Q45">
        <f>Programmation!R45</f>
        <v>0</v>
      </c>
      <c r="R45">
        <f>Programmation!S45</f>
        <v>0</v>
      </c>
      <c r="S45">
        <f>Programmation!T45</f>
        <v>0</v>
      </c>
      <c r="T45">
        <f>Programmation!U45</f>
        <v>0</v>
      </c>
      <c r="U45">
        <f>Programmation!V45</f>
        <v>0</v>
      </c>
      <c r="V45">
        <f>Programmation!W45</f>
        <v>0</v>
      </c>
      <c r="W45">
        <f>Programmation!X45</f>
        <v>0</v>
      </c>
      <c r="X45">
        <f>Programmation!Y45</f>
        <v>0</v>
      </c>
      <c r="Y45">
        <f>Programmation!Z45</f>
        <v>0</v>
      </c>
      <c r="Z45">
        <f>Programmation!AA45</f>
        <v>0</v>
      </c>
      <c r="AA45">
        <f>Programmation!AB45+Programmation!AC45*2+Programmation!AD45*4+Programmation!AE45*8</f>
        <v>0</v>
      </c>
      <c r="AB45">
        <f>Programmation!AG45</f>
        <v>0</v>
      </c>
      <c r="AC45">
        <f>Programmation!AJ45</f>
        <v>0</v>
      </c>
      <c r="AD45">
        <f>Programmation!AK45</f>
        <v>0</v>
      </c>
      <c r="AE45">
        <f>Programmation!AL45</f>
        <v>0</v>
      </c>
      <c r="AF45">
        <f>Programmation!AM45</f>
        <v>0</v>
      </c>
      <c r="AG45">
        <f>Programmation!AN45</f>
        <v>0</v>
      </c>
      <c r="AH45">
        <f>Programmation!AO45</f>
        <v>0</v>
      </c>
      <c r="AI45">
        <f>Programmation!AP45</f>
        <v>0</v>
      </c>
      <c r="AJ45">
        <f>Programmation!AQ45</f>
        <v>0</v>
      </c>
      <c r="AK45">
        <f>Programmation!AR45</f>
        <v>0</v>
      </c>
      <c r="AL45">
        <f>Programmation!AS45</f>
        <v>0</v>
      </c>
      <c r="AM45">
        <f>Programmation!AT45</f>
        <v>0</v>
      </c>
      <c r="AN45">
        <f>Programmation!AU45</f>
        <v>0</v>
      </c>
      <c r="AO45">
        <f>Programmation!AV45</f>
        <v>0</v>
      </c>
      <c r="AP45">
        <f>Programmation!AW45</f>
        <v>0</v>
      </c>
      <c r="AQ45">
        <f>Programmation!AX45</f>
        <v>0</v>
      </c>
      <c r="AR45">
        <f>Programmation!AY45</f>
        <v>0</v>
      </c>
      <c r="AS45">
        <f>Programmation!AZ45*10</f>
        <v>0</v>
      </c>
      <c r="AT45">
        <f>Programmation!BA45</f>
        <v>0</v>
      </c>
      <c r="AU45">
        <f>Programmation!BB45</f>
        <v>0</v>
      </c>
      <c r="AV45">
        <f>Programmation!BC45</f>
        <v>0</v>
      </c>
      <c r="AW45">
        <f>Programmation!BD45</f>
        <v>0</v>
      </c>
      <c r="AX45">
        <v>10</v>
      </c>
      <c r="AY45">
        <f>611.213+43.53*POWER(Programmation!BP45,1)+1.598*POWER(Programmation!BP45,2)+0.0159*POWER(Programmation!BP45,3)+0.000567*POWER(Programmation!BP45,4)</f>
        <v>0</v>
      </c>
      <c r="AZ45">
        <f>IF(K45=0,0,-241*(LOG10(AY45*K45/100)-2.7887)/((LOG10(AY45*K45/100)-2.7887-7.625)))</f>
        <v>0</v>
      </c>
      <c r="BA45">
        <f>0.622*AY46*K46/(10132500-AY46*K46)*1000</f>
        <v>0</v>
      </c>
      <c r="BB45">
        <v>450</v>
      </c>
      <c r="BC45">
        <v>0</v>
      </c>
      <c r="BD45">
        <v>45</v>
      </c>
      <c r="BE45">
        <v>0</v>
      </c>
      <c r="BF45">
        <f>E76/10</f>
        <v>0</v>
      </c>
      <c r="BG45">
        <f>Programmation!BL45</f>
        <v>0</v>
      </c>
    </row>
    <row r="46" spans="1:59">
      <c r="A46">
        <f>Programmation!A46</f>
        <v>0</v>
      </c>
      <c r="B46">
        <f>Programmation!D46</f>
        <v>0</v>
      </c>
      <c r="C46">
        <f>Programmation!B46</f>
        <v>0</v>
      </c>
      <c r="D46">
        <f>Programmation!C46</f>
        <v>0</v>
      </c>
      <c r="E46">
        <f>Programmation!F46*10</f>
        <v>0</v>
      </c>
      <c r="F46">
        <f>Programmation!G46</f>
        <v>0</v>
      </c>
      <c r="G46">
        <f>IF(Programmation!H46&lt;Config!$B$9,Config!$B$9,Programmation!H46)</f>
        <v>0</v>
      </c>
      <c r="H46">
        <f>IF(Programmation!I46&lt;Config!$B$10,Config!$B$10,Programmation!I46)</f>
        <v>0</v>
      </c>
      <c r="I46">
        <f>IF(Programmation!J46&lt;Config!$B$11,Config!$B$11,Programmation!J46)</f>
        <v>0</v>
      </c>
      <c r="J46">
        <f>Programmation!K46</f>
        <v>0</v>
      </c>
      <c r="K46">
        <f>IF(Programmation!L46&gt;95,95,Programmation!L46)</f>
        <v>0</v>
      </c>
      <c r="L46">
        <f>Programmation!M46</f>
        <v>0</v>
      </c>
      <c r="M46">
        <f>Programmation!N46</f>
        <v>0</v>
      </c>
      <c r="N46">
        <f>Programmation!O46</f>
        <v>0</v>
      </c>
      <c r="O46">
        <f>Programmation!P46</f>
        <v>0</v>
      </c>
      <c r="P46">
        <f>Programmation!Q46</f>
        <v>0</v>
      </c>
      <c r="Q46">
        <f>Programmation!R46</f>
        <v>0</v>
      </c>
      <c r="R46">
        <f>Programmation!S46</f>
        <v>0</v>
      </c>
      <c r="S46">
        <f>Programmation!T46</f>
        <v>0</v>
      </c>
      <c r="T46">
        <f>Programmation!U46</f>
        <v>0</v>
      </c>
      <c r="U46">
        <f>Programmation!V46</f>
        <v>0</v>
      </c>
      <c r="V46">
        <f>Programmation!W46</f>
        <v>0</v>
      </c>
      <c r="W46">
        <f>Programmation!X46</f>
        <v>0</v>
      </c>
      <c r="X46">
        <f>Programmation!Y46</f>
        <v>0</v>
      </c>
      <c r="Y46">
        <f>Programmation!Z46</f>
        <v>0</v>
      </c>
      <c r="Z46">
        <f>Programmation!AA46</f>
        <v>0</v>
      </c>
      <c r="AA46">
        <f>Programmation!AB46+Programmation!AC46*2+Programmation!AD46*4+Programmation!AE46*8</f>
        <v>0</v>
      </c>
      <c r="AB46">
        <f>Programmation!AG46</f>
        <v>0</v>
      </c>
      <c r="AC46">
        <f>Programmation!AJ46</f>
        <v>0</v>
      </c>
      <c r="AD46">
        <f>Programmation!AK46</f>
        <v>0</v>
      </c>
      <c r="AE46">
        <f>Programmation!AL46</f>
        <v>0</v>
      </c>
      <c r="AF46">
        <f>Programmation!AM46</f>
        <v>0</v>
      </c>
      <c r="AG46">
        <f>Programmation!AN46</f>
        <v>0</v>
      </c>
      <c r="AH46">
        <f>Programmation!AO46</f>
        <v>0</v>
      </c>
      <c r="AI46">
        <f>Programmation!AP46</f>
        <v>0</v>
      </c>
      <c r="AJ46">
        <f>Programmation!AQ46</f>
        <v>0</v>
      </c>
      <c r="AK46">
        <f>Programmation!AR46</f>
        <v>0</v>
      </c>
      <c r="AL46">
        <f>Programmation!AS46</f>
        <v>0</v>
      </c>
      <c r="AM46">
        <f>Programmation!AT46</f>
        <v>0</v>
      </c>
      <c r="AN46">
        <f>Programmation!AU46</f>
        <v>0</v>
      </c>
      <c r="AO46">
        <f>Programmation!AV46</f>
        <v>0</v>
      </c>
      <c r="AP46">
        <f>Programmation!AW46</f>
        <v>0</v>
      </c>
      <c r="AQ46">
        <f>Programmation!AX46</f>
        <v>0</v>
      </c>
      <c r="AR46">
        <f>Programmation!AY46</f>
        <v>0</v>
      </c>
      <c r="AS46">
        <f>Programmation!AZ46*10</f>
        <v>0</v>
      </c>
      <c r="AT46">
        <f>Programmation!BA46</f>
        <v>0</v>
      </c>
      <c r="AU46">
        <f>Programmation!BB46</f>
        <v>0</v>
      </c>
      <c r="AV46">
        <f>Programmation!BC46</f>
        <v>0</v>
      </c>
      <c r="AW46">
        <f>Programmation!BD46</f>
        <v>0</v>
      </c>
      <c r="AX46">
        <v>10</v>
      </c>
      <c r="AY46">
        <f>611.213+43.53*POWER(Programmation!BP46,1)+1.598*POWER(Programmation!BP46,2)+0.0159*POWER(Programmation!BP46,3)+0.000567*POWER(Programmation!BP46,4)</f>
        <v>0</v>
      </c>
      <c r="AZ46">
        <f>IF(K46=0,0,-241*(LOG10(AY46*K46/100)-2.7887)/((LOG10(AY46*K46/100)-2.7887-7.625)))</f>
        <v>0</v>
      </c>
      <c r="BA46">
        <f>0.622*AY47*K47/(10132500-AY47*K47)*1000</f>
        <v>0</v>
      </c>
      <c r="BB46">
        <v>450</v>
      </c>
      <c r="BC46">
        <v>0</v>
      </c>
      <c r="BD46">
        <v>45</v>
      </c>
      <c r="BE46">
        <v>0</v>
      </c>
      <c r="BF46">
        <f>E77/10</f>
        <v>0</v>
      </c>
      <c r="BG46">
        <f>Programmation!BL46</f>
        <v>0</v>
      </c>
    </row>
    <row r="47" spans="1:59">
      <c r="A47">
        <f>Programmation!A47</f>
        <v>0</v>
      </c>
      <c r="B47">
        <f>Programmation!D47</f>
        <v>0</v>
      </c>
      <c r="C47">
        <f>Programmation!B47</f>
        <v>0</v>
      </c>
      <c r="D47">
        <f>Programmation!C47</f>
        <v>0</v>
      </c>
      <c r="E47">
        <f>Programmation!F47*10</f>
        <v>0</v>
      </c>
      <c r="F47">
        <f>Programmation!G47</f>
        <v>0</v>
      </c>
      <c r="G47">
        <f>IF(Programmation!H47&lt;Config!$B$9,Config!$B$9,Programmation!H47)</f>
        <v>0</v>
      </c>
      <c r="H47">
        <f>IF(Programmation!I47&lt;Config!$B$10,Config!$B$10,Programmation!I47)</f>
        <v>0</v>
      </c>
      <c r="I47">
        <f>IF(Programmation!J47&lt;Config!$B$11,Config!$B$11,Programmation!J47)</f>
        <v>0</v>
      </c>
      <c r="J47">
        <f>Programmation!K47</f>
        <v>0</v>
      </c>
      <c r="K47">
        <f>IF(Programmation!L47&gt;95,95,Programmation!L47)</f>
        <v>0</v>
      </c>
      <c r="L47">
        <f>Programmation!M47</f>
        <v>0</v>
      </c>
      <c r="M47">
        <f>Programmation!N47</f>
        <v>0</v>
      </c>
      <c r="N47">
        <f>Programmation!O47</f>
        <v>0</v>
      </c>
      <c r="O47">
        <f>Programmation!P47</f>
        <v>0</v>
      </c>
      <c r="P47">
        <f>Programmation!Q47</f>
        <v>0</v>
      </c>
      <c r="Q47">
        <f>Programmation!R47</f>
        <v>0</v>
      </c>
      <c r="R47">
        <f>Programmation!S47</f>
        <v>0</v>
      </c>
      <c r="S47">
        <f>Programmation!T47</f>
        <v>0</v>
      </c>
      <c r="T47">
        <f>Programmation!U47</f>
        <v>0</v>
      </c>
      <c r="U47">
        <f>Programmation!V47</f>
        <v>0</v>
      </c>
      <c r="V47">
        <f>Programmation!W47</f>
        <v>0</v>
      </c>
      <c r="W47">
        <f>Programmation!X47</f>
        <v>0</v>
      </c>
      <c r="X47">
        <f>Programmation!Y47</f>
        <v>0</v>
      </c>
      <c r="Y47">
        <f>Programmation!Z47</f>
        <v>0</v>
      </c>
      <c r="Z47">
        <f>Programmation!AA47</f>
        <v>0</v>
      </c>
      <c r="AA47">
        <f>Programmation!AB47+Programmation!AC47*2+Programmation!AD47*4+Programmation!AE47*8</f>
        <v>0</v>
      </c>
      <c r="AB47">
        <f>Programmation!AG47</f>
        <v>0</v>
      </c>
      <c r="AC47">
        <f>Programmation!AJ47</f>
        <v>0</v>
      </c>
      <c r="AD47">
        <f>Programmation!AK47</f>
        <v>0</v>
      </c>
      <c r="AE47">
        <f>Programmation!AL47</f>
        <v>0</v>
      </c>
      <c r="AF47">
        <f>Programmation!AM47</f>
        <v>0</v>
      </c>
      <c r="AG47">
        <f>Programmation!AN47</f>
        <v>0</v>
      </c>
      <c r="AH47">
        <f>Programmation!AO47</f>
        <v>0</v>
      </c>
      <c r="AI47">
        <f>Programmation!AP47</f>
        <v>0</v>
      </c>
      <c r="AJ47">
        <f>Programmation!AQ47</f>
        <v>0</v>
      </c>
      <c r="AK47">
        <f>Programmation!AR47</f>
        <v>0</v>
      </c>
      <c r="AL47">
        <f>Programmation!AS47</f>
        <v>0</v>
      </c>
      <c r="AM47">
        <f>Programmation!AT47</f>
        <v>0</v>
      </c>
      <c r="AN47">
        <f>Programmation!AU47</f>
        <v>0</v>
      </c>
      <c r="AO47">
        <f>Programmation!AV47</f>
        <v>0</v>
      </c>
      <c r="AP47">
        <f>Programmation!AW47</f>
        <v>0</v>
      </c>
      <c r="AQ47">
        <f>Programmation!AX47</f>
        <v>0</v>
      </c>
      <c r="AR47">
        <f>Programmation!AY47</f>
        <v>0</v>
      </c>
      <c r="AS47">
        <f>Programmation!AZ47*10</f>
        <v>0</v>
      </c>
      <c r="AT47">
        <f>Programmation!BA47</f>
        <v>0</v>
      </c>
      <c r="AU47">
        <f>Programmation!BB47</f>
        <v>0</v>
      </c>
      <c r="AV47">
        <f>Programmation!BC47</f>
        <v>0</v>
      </c>
      <c r="AW47">
        <f>Programmation!BD47</f>
        <v>0</v>
      </c>
      <c r="AX47">
        <v>10</v>
      </c>
      <c r="AY47">
        <f>611.213+43.53*POWER(Programmation!BP47,1)+1.598*POWER(Programmation!BP47,2)+0.0159*POWER(Programmation!BP47,3)+0.000567*POWER(Programmation!BP47,4)</f>
        <v>0</v>
      </c>
      <c r="AZ47">
        <f>IF(K47=0,0,-241*(LOG10(AY47*K47/100)-2.7887)/((LOG10(AY47*K47/100)-2.7887-7.625)))</f>
        <v>0</v>
      </c>
      <c r="BA47">
        <f>0.622*AY48*K48/(10132500-AY48*K48)*1000</f>
        <v>0</v>
      </c>
      <c r="BB47">
        <v>450</v>
      </c>
      <c r="BC47">
        <v>0</v>
      </c>
      <c r="BD47">
        <v>45</v>
      </c>
      <c r="BE47">
        <v>0</v>
      </c>
      <c r="BF47">
        <f>E78/10</f>
        <v>0</v>
      </c>
      <c r="BG47">
        <f>Programmation!BL47</f>
        <v>0</v>
      </c>
    </row>
    <row r="48" spans="1:59">
      <c r="A48">
        <f>Programmation!A48</f>
        <v>0</v>
      </c>
      <c r="B48">
        <f>Programmation!D48</f>
        <v>0</v>
      </c>
      <c r="C48">
        <f>Programmation!B48</f>
        <v>0</v>
      </c>
      <c r="D48">
        <f>Programmation!C48</f>
        <v>0</v>
      </c>
      <c r="E48">
        <f>Programmation!F48*10</f>
        <v>0</v>
      </c>
      <c r="F48">
        <f>Programmation!G48</f>
        <v>0</v>
      </c>
      <c r="G48">
        <f>IF(Programmation!H48&lt;Config!$B$9,Config!$B$9,Programmation!H48)</f>
        <v>0</v>
      </c>
      <c r="H48">
        <f>IF(Programmation!I48&lt;Config!$B$10,Config!$B$10,Programmation!I48)</f>
        <v>0</v>
      </c>
      <c r="I48">
        <f>IF(Programmation!J48&lt;Config!$B$11,Config!$B$11,Programmation!J48)</f>
        <v>0</v>
      </c>
      <c r="J48">
        <f>Programmation!K48</f>
        <v>0</v>
      </c>
      <c r="K48">
        <f>IF(Programmation!L48&gt;95,95,Programmation!L48)</f>
        <v>0</v>
      </c>
      <c r="L48">
        <f>Programmation!M48</f>
        <v>0</v>
      </c>
      <c r="M48">
        <f>Programmation!N48</f>
        <v>0</v>
      </c>
      <c r="N48">
        <f>Programmation!O48</f>
        <v>0</v>
      </c>
      <c r="O48">
        <f>Programmation!P48</f>
        <v>0</v>
      </c>
      <c r="P48">
        <f>Programmation!Q48</f>
        <v>0</v>
      </c>
      <c r="Q48">
        <f>Programmation!R48</f>
        <v>0</v>
      </c>
      <c r="R48">
        <f>Programmation!S48</f>
        <v>0</v>
      </c>
      <c r="S48">
        <f>Programmation!T48</f>
        <v>0</v>
      </c>
      <c r="T48">
        <f>Programmation!U48</f>
        <v>0</v>
      </c>
      <c r="U48">
        <f>Programmation!V48</f>
        <v>0</v>
      </c>
      <c r="V48">
        <f>Programmation!W48</f>
        <v>0</v>
      </c>
      <c r="W48">
        <f>Programmation!X48</f>
        <v>0</v>
      </c>
      <c r="X48">
        <f>Programmation!Y48</f>
        <v>0</v>
      </c>
      <c r="Y48">
        <f>Programmation!Z48</f>
        <v>0</v>
      </c>
      <c r="Z48">
        <f>Programmation!AA48</f>
        <v>0</v>
      </c>
      <c r="AA48">
        <f>Programmation!AB48+Programmation!AC48*2+Programmation!AD48*4+Programmation!AE48*8</f>
        <v>0</v>
      </c>
      <c r="AB48">
        <f>Programmation!AG48</f>
        <v>0</v>
      </c>
      <c r="AC48">
        <f>Programmation!AJ48</f>
        <v>0</v>
      </c>
      <c r="AD48">
        <f>Programmation!AK48</f>
        <v>0</v>
      </c>
      <c r="AE48">
        <f>Programmation!AL48</f>
        <v>0</v>
      </c>
      <c r="AF48">
        <f>Programmation!AM48</f>
        <v>0</v>
      </c>
      <c r="AG48">
        <f>Programmation!AN48</f>
        <v>0</v>
      </c>
      <c r="AH48">
        <f>Programmation!AO48</f>
        <v>0</v>
      </c>
      <c r="AI48">
        <f>Programmation!AP48</f>
        <v>0</v>
      </c>
      <c r="AJ48">
        <f>Programmation!AQ48</f>
        <v>0</v>
      </c>
      <c r="AK48">
        <f>Programmation!AR48</f>
        <v>0</v>
      </c>
      <c r="AL48">
        <f>Programmation!AS48</f>
        <v>0</v>
      </c>
      <c r="AM48">
        <f>Programmation!AT48</f>
        <v>0</v>
      </c>
      <c r="AN48">
        <f>Programmation!AU48</f>
        <v>0</v>
      </c>
      <c r="AO48">
        <f>Programmation!AV48</f>
        <v>0</v>
      </c>
      <c r="AP48">
        <f>Programmation!AW48</f>
        <v>0</v>
      </c>
      <c r="AQ48">
        <f>Programmation!AX48</f>
        <v>0</v>
      </c>
      <c r="AR48">
        <f>Programmation!AY48</f>
        <v>0</v>
      </c>
      <c r="AS48">
        <f>Programmation!AZ48*10</f>
        <v>0</v>
      </c>
      <c r="AT48">
        <f>Programmation!BA48</f>
        <v>0</v>
      </c>
      <c r="AU48">
        <f>Programmation!BB48</f>
        <v>0</v>
      </c>
      <c r="AV48">
        <f>Programmation!BC48</f>
        <v>0</v>
      </c>
      <c r="AW48">
        <f>Programmation!BD48</f>
        <v>0</v>
      </c>
      <c r="AX48">
        <v>10</v>
      </c>
      <c r="AY48">
        <f>611.213+43.53*POWER(Programmation!BP48,1)+1.598*POWER(Programmation!BP48,2)+0.0159*POWER(Programmation!BP48,3)+0.000567*POWER(Programmation!BP48,4)</f>
        <v>0</v>
      </c>
      <c r="AZ48">
        <f>IF(K48=0,0,-241*(LOG10(AY48*K48/100)-2.7887)/((LOG10(AY48*K48/100)-2.7887-7.625)))</f>
        <v>0</v>
      </c>
      <c r="BA48">
        <f>0.622*AY49*K49/(10132500-AY49*K49)*1000</f>
        <v>0</v>
      </c>
      <c r="BB48">
        <v>450</v>
      </c>
      <c r="BC48">
        <v>0</v>
      </c>
      <c r="BD48">
        <v>45</v>
      </c>
      <c r="BE48">
        <v>0</v>
      </c>
      <c r="BF48">
        <f>E79/10</f>
        <v>0</v>
      </c>
      <c r="BG48">
        <f>Programmation!BL48</f>
        <v>0</v>
      </c>
    </row>
    <row r="49" spans="1:59">
      <c r="A49">
        <f>Programmation!A49</f>
        <v>0</v>
      </c>
      <c r="B49">
        <f>Programmation!D49</f>
        <v>0</v>
      </c>
      <c r="C49">
        <f>Programmation!B49</f>
        <v>0</v>
      </c>
      <c r="D49">
        <f>Programmation!C49</f>
        <v>0</v>
      </c>
      <c r="E49">
        <f>Programmation!F49*10</f>
        <v>0</v>
      </c>
      <c r="F49">
        <f>Programmation!G49</f>
        <v>0</v>
      </c>
      <c r="G49">
        <f>IF(Programmation!H49&lt;Config!$B$9,Config!$B$9,Programmation!H49)</f>
        <v>0</v>
      </c>
      <c r="H49">
        <f>IF(Programmation!I49&lt;Config!$B$10,Config!$B$10,Programmation!I49)</f>
        <v>0</v>
      </c>
      <c r="I49">
        <f>IF(Programmation!J49&lt;Config!$B$11,Config!$B$11,Programmation!J49)</f>
        <v>0</v>
      </c>
      <c r="J49">
        <f>Programmation!K49</f>
        <v>0</v>
      </c>
      <c r="K49">
        <f>IF(Programmation!L49&gt;95,95,Programmation!L49)</f>
        <v>0</v>
      </c>
      <c r="L49">
        <f>Programmation!M49</f>
        <v>0</v>
      </c>
      <c r="M49">
        <f>Programmation!N49</f>
        <v>0</v>
      </c>
      <c r="N49">
        <f>Programmation!O49</f>
        <v>0</v>
      </c>
      <c r="O49">
        <f>Programmation!P49</f>
        <v>0</v>
      </c>
      <c r="P49">
        <f>Programmation!Q49</f>
        <v>0</v>
      </c>
      <c r="Q49">
        <f>Programmation!R49</f>
        <v>0</v>
      </c>
      <c r="R49">
        <f>Programmation!S49</f>
        <v>0</v>
      </c>
      <c r="S49">
        <f>Programmation!T49</f>
        <v>0</v>
      </c>
      <c r="T49">
        <f>Programmation!U49</f>
        <v>0</v>
      </c>
      <c r="U49">
        <f>Programmation!V49</f>
        <v>0</v>
      </c>
      <c r="V49">
        <f>Programmation!W49</f>
        <v>0</v>
      </c>
      <c r="W49">
        <f>Programmation!X49</f>
        <v>0</v>
      </c>
      <c r="X49">
        <f>Programmation!Y49</f>
        <v>0</v>
      </c>
      <c r="Y49">
        <f>Programmation!Z49</f>
        <v>0</v>
      </c>
      <c r="Z49">
        <f>Programmation!AA49</f>
        <v>0</v>
      </c>
      <c r="AA49">
        <f>Programmation!AB49+Programmation!AC49*2+Programmation!AD49*4+Programmation!AE49*8</f>
        <v>0</v>
      </c>
      <c r="AB49">
        <f>Programmation!AG49</f>
        <v>0</v>
      </c>
      <c r="AC49">
        <f>Programmation!AJ49</f>
        <v>0</v>
      </c>
      <c r="AD49">
        <f>Programmation!AK49</f>
        <v>0</v>
      </c>
      <c r="AE49">
        <f>Programmation!AL49</f>
        <v>0</v>
      </c>
      <c r="AF49">
        <f>Programmation!AM49</f>
        <v>0</v>
      </c>
      <c r="AG49">
        <f>Programmation!AN49</f>
        <v>0</v>
      </c>
      <c r="AH49">
        <f>Programmation!AO49</f>
        <v>0</v>
      </c>
      <c r="AI49">
        <f>Programmation!AP49</f>
        <v>0</v>
      </c>
      <c r="AJ49">
        <f>Programmation!AQ49</f>
        <v>0</v>
      </c>
      <c r="AK49">
        <f>Programmation!AR49</f>
        <v>0</v>
      </c>
      <c r="AL49">
        <f>Programmation!AS49</f>
        <v>0</v>
      </c>
      <c r="AM49">
        <f>Programmation!AT49</f>
        <v>0</v>
      </c>
      <c r="AN49">
        <f>Programmation!AU49</f>
        <v>0</v>
      </c>
      <c r="AO49">
        <f>Programmation!AV49</f>
        <v>0</v>
      </c>
      <c r="AP49">
        <f>Programmation!AW49</f>
        <v>0</v>
      </c>
      <c r="AQ49">
        <f>Programmation!AX49</f>
        <v>0</v>
      </c>
      <c r="AR49">
        <f>Programmation!AY49</f>
        <v>0</v>
      </c>
      <c r="AS49">
        <f>Programmation!AZ49*10</f>
        <v>0</v>
      </c>
      <c r="AT49">
        <f>Programmation!BA49</f>
        <v>0</v>
      </c>
      <c r="AU49">
        <f>Programmation!BB49</f>
        <v>0</v>
      </c>
      <c r="AV49">
        <f>Programmation!BC49</f>
        <v>0</v>
      </c>
      <c r="AW49">
        <f>Programmation!BD49</f>
        <v>0</v>
      </c>
      <c r="AX49">
        <v>10</v>
      </c>
      <c r="AY49">
        <f>611.213+43.53*POWER(Programmation!BP49,1)+1.598*POWER(Programmation!BP49,2)+0.0159*POWER(Programmation!BP49,3)+0.000567*POWER(Programmation!BP49,4)</f>
        <v>0</v>
      </c>
      <c r="AZ49">
        <f>IF(K49=0,0,-241*(LOG10(AY49*K49/100)-2.7887)/((LOG10(AY49*K49/100)-2.7887-7.625)))</f>
        <v>0</v>
      </c>
      <c r="BA49">
        <f>0.622*AY50*K50/(10132500-AY50*K50)*1000</f>
        <v>0</v>
      </c>
      <c r="BB49">
        <v>450</v>
      </c>
      <c r="BC49">
        <v>0</v>
      </c>
      <c r="BD49">
        <v>45</v>
      </c>
      <c r="BE49">
        <v>0</v>
      </c>
      <c r="BF49">
        <f>E80/10</f>
        <v>0</v>
      </c>
      <c r="BG49">
        <f>Programmation!BL49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P49"/>
  <sheetViews>
    <sheetView workbookViewId="0"/>
  </sheetViews>
  <sheetFormatPr defaultRowHeight="15"/>
  <sheetData>
    <row r="1" spans="1:68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4</v>
      </c>
      <c r="N1" t="s">
        <v>5</v>
      </c>
      <c r="O1" t="s">
        <v>64</v>
      </c>
      <c r="P1" t="s">
        <v>65</v>
      </c>
      <c r="Q1" t="s">
        <v>8</v>
      </c>
      <c r="R1" t="s">
        <v>9</v>
      </c>
      <c r="S1" t="s">
        <v>10</v>
      </c>
      <c r="T1" t="s">
        <v>11</v>
      </c>
      <c r="U1" t="s">
        <v>12</v>
      </c>
      <c r="V1" t="s">
        <v>13</v>
      </c>
      <c r="W1" t="s">
        <v>66</v>
      </c>
      <c r="X1" t="s">
        <v>67</v>
      </c>
      <c r="Y1" t="s">
        <v>16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20</v>
      </c>
      <c r="AH1" t="s">
        <v>75</v>
      </c>
      <c r="AI1" t="s">
        <v>76</v>
      </c>
      <c r="AJ1" t="s">
        <v>21</v>
      </c>
      <c r="AK1" t="s">
        <v>77</v>
      </c>
      <c r="AL1" t="s">
        <v>78</v>
      </c>
      <c r="AM1" t="s">
        <v>79</v>
      </c>
      <c r="AN1" t="s">
        <v>80</v>
      </c>
      <c r="AO1" t="s">
        <v>81</v>
      </c>
      <c r="AP1" t="s">
        <v>82</v>
      </c>
      <c r="AQ1" t="s">
        <v>83</v>
      </c>
      <c r="AR1" t="s">
        <v>84</v>
      </c>
      <c r="AS1" t="s">
        <v>85</v>
      </c>
      <c r="AT1" t="s">
        <v>86</v>
      </c>
      <c r="AU1" t="s">
        <v>87</v>
      </c>
      <c r="AV1" t="s">
        <v>88</v>
      </c>
      <c r="AW1" t="s">
        <v>89</v>
      </c>
      <c r="AX1" t="s">
        <v>90</v>
      </c>
      <c r="AY1" t="s">
        <v>91</v>
      </c>
      <c r="AZ1" t="s">
        <v>37</v>
      </c>
      <c r="BA1" t="s">
        <v>38</v>
      </c>
      <c r="BB1" t="s">
        <v>39</v>
      </c>
      <c r="BC1" t="s">
        <v>92</v>
      </c>
      <c r="BD1" t="s">
        <v>41</v>
      </c>
      <c r="BE1" t="s">
        <v>93</v>
      </c>
      <c r="BF1" t="s">
        <v>94</v>
      </c>
      <c r="BG1" t="s">
        <v>95</v>
      </c>
      <c r="BH1" t="s">
        <v>96</v>
      </c>
      <c r="BI1" t="s">
        <v>97</v>
      </c>
      <c r="BJ1" t="s">
        <v>98</v>
      </c>
      <c r="BK1" t="s">
        <v>99</v>
      </c>
      <c r="BL1" t="s">
        <v>100</v>
      </c>
      <c r="BM1" t="s">
        <v>101</v>
      </c>
      <c r="BN1" t="s">
        <v>102</v>
      </c>
      <c r="BO1" t="s">
        <v>103</v>
      </c>
      <c r="BP1" t="s">
        <v>104</v>
      </c>
    </row>
    <row r="2" spans="1:68">
      <c r="A2">
        <v>1</v>
      </c>
      <c r="B2">
        <f>MOD(INT(C2/60),60)</f>
        <v>0</v>
      </c>
      <c r="C2">
        <v>0</v>
      </c>
      <c r="D2">
        <f>INT(C2/3600)</f>
        <v>0</v>
      </c>
      <c r="E2">
        <f>INT(D2/24)+1</f>
        <v>0</v>
      </c>
      <c r="F2">
        <v>22</v>
      </c>
      <c r="G2">
        <v>0</v>
      </c>
      <c r="H2">
        <f>$F2</f>
        <v>0</v>
      </c>
      <c r="I2">
        <f>$F2</f>
        <v>0</v>
      </c>
      <c r="J2">
        <f>$F2</f>
        <v>0</v>
      </c>
      <c r="K2">
        <v>1</v>
      </c>
      <c r="L2">
        <v>60</v>
      </c>
      <c r="M2">
        <v>0</v>
      </c>
      <c r="N2">
        <v>0</v>
      </c>
      <c r="O2">
        <v>1</v>
      </c>
      <c r="P2">
        <v>450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60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20</v>
      </c>
      <c r="BA2">
        <v>0</v>
      </c>
      <c r="BB2">
        <v>0</v>
      </c>
      <c r="BC2">
        <v>0</v>
      </c>
      <c r="BD2">
        <v>0</v>
      </c>
      <c r="BE2">
        <v>0</v>
      </c>
      <c r="BJ2">
        <f>IF(OR(F33&gt;Config!$D$24,F33&lt;Config!$C$23,BL2=0,BP33&gt;Config!$D$24,BP33&lt;Config!$C$23),"ERR","OK")</f>
        <v>0</v>
      </c>
      <c r="BK2">
        <f>IF(OR(L2&gt;100,L2&lt;7,BL2=0),"ERR","OK")</f>
        <v>0</v>
      </c>
      <c r="BL2">
        <f>IF(SUM(F2:BD2)=0,0,1)</f>
        <v>0</v>
      </c>
      <c r="BM2">
        <f>IF(AND(BP2&lt;0,L2&lt;=80),80,L2)</f>
        <v>0</v>
      </c>
      <c r="BN2">
        <f>MIN(F2:F13,H2:H13,I2:I13,J2:J13,AZ2:AZ13)</f>
        <v>0</v>
      </c>
      <c r="BO2">
        <f>MAX(F2:F13,H2:H13,I2:I13,J2:J13,AZ2:AZ13)</f>
        <v>0</v>
      </c>
      <c r="BP2">
        <f>IF(AJ2,BP1,F33)</f>
        <v>0</v>
      </c>
    </row>
    <row r="3" spans="1:68">
      <c r="A3">
        <f>A2+1</f>
        <v>0</v>
      </c>
      <c r="B3">
        <f>MOD(INT(C3/60),60)</f>
        <v>0</v>
      </c>
      <c r="C3">
        <f>C2+300</f>
        <v>0</v>
      </c>
      <c r="D3">
        <f>INT(C3/3600)</f>
        <v>0</v>
      </c>
      <c r="E3">
        <f>INT(D3/24)+1</f>
        <v>0</v>
      </c>
      <c r="F3">
        <v>22</v>
      </c>
      <c r="G3">
        <v>0</v>
      </c>
      <c r="H3">
        <f>$F3</f>
        <v>0</v>
      </c>
      <c r="I3">
        <f>$F3</f>
        <v>0</v>
      </c>
      <c r="J3">
        <f>$F3</f>
        <v>0</v>
      </c>
      <c r="K3">
        <v>1</v>
      </c>
      <c r="L3">
        <v>60</v>
      </c>
      <c r="M3">
        <v>0</v>
      </c>
      <c r="N3">
        <v>0</v>
      </c>
      <c r="O3">
        <v>1</v>
      </c>
      <c r="P3">
        <v>450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60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20</v>
      </c>
      <c r="BA3">
        <v>0</v>
      </c>
      <c r="BB3">
        <v>0</v>
      </c>
      <c r="BC3">
        <v>0</v>
      </c>
      <c r="BD3">
        <v>0</v>
      </c>
      <c r="BE3">
        <v>0</v>
      </c>
      <c r="BJ3">
        <f>IF(OR(F34&gt;Config!$D$24,F34&lt;Config!$C$23,BL3=0,BP34&gt;Config!$D$24,BP34&lt;Config!$C$23),"ERR","OK")</f>
        <v>0</v>
      </c>
      <c r="BK3">
        <f>IF(OR(L3&gt;100,L3&lt;7,BL3=0),"ERR","OK")</f>
        <v>0</v>
      </c>
      <c r="BL3">
        <f>IF(SUM(F3:BD3)=0,0,1)</f>
        <v>0</v>
      </c>
      <c r="BM3">
        <f>IF(AND(BP3&lt;0,L3&lt;=80),80,L3)</f>
        <v>0</v>
      </c>
      <c r="BN3">
        <f>MIN(F3:F14,H3:H14,I3:I14,J3:J14,AZ3:AZ14)</f>
        <v>0</v>
      </c>
      <c r="BO3">
        <f>MAX(F3:F14,H3:H14,I3:I14,J3:J14,AZ3:AZ14)</f>
        <v>0</v>
      </c>
      <c r="BP3">
        <f>IF(AJ3,BP2,F34)</f>
        <v>0</v>
      </c>
    </row>
    <row r="4" spans="1:68">
      <c r="A4">
        <f>A3+1</f>
        <v>0</v>
      </c>
      <c r="B4">
        <f>MOD(INT(C4/60),60)</f>
        <v>0</v>
      </c>
      <c r="C4">
        <f>C3+300</f>
        <v>0</v>
      </c>
      <c r="D4">
        <f>INT(C4/3600)</f>
        <v>0</v>
      </c>
      <c r="E4">
        <f>INT(D4/24)+1</f>
        <v>0</v>
      </c>
      <c r="F4">
        <v>22</v>
      </c>
      <c r="G4">
        <v>0</v>
      </c>
      <c r="H4">
        <f>$F4</f>
        <v>0</v>
      </c>
      <c r="I4">
        <f>$F4</f>
        <v>0</v>
      </c>
      <c r="J4">
        <f>$F4</f>
        <v>0</v>
      </c>
      <c r="K4">
        <v>1</v>
      </c>
      <c r="L4">
        <v>60</v>
      </c>
      <c r="M4">
        <v>0</v>
      </c>
      <c r="N4">
        <v>0</v>
      </c>
      <c r="O4">
        <v>1</v>
      </c>
      <c r="P4">
        <v>450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60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20</v>
      </c>
      <c r="BA4">
        <v>0</v>
      </c>
      <c r="BB4">
        <v>0</v>
      </c>
      <c r="BC4">
        <v>0</v>
      </c>
      <c r="BD4">
        <v>0</v>
      </c>
      <c r="BE4">
        <v>0</v>
      </c>
      <c r="BJ4">
        <f>IF(OR(F35&gt;Config!$D$24,F35&lt;Config!$C$23,BL4=0,BP35&gt;Config!$D$24,BP35&lt;Config!$C$23),"ERR","OK")</f>
        <v>0</v>
      </c>
      <c r="BK4">
        <f>IF(OR(L4&gt;100,L4&lt;7,BL4=0),"ERR","OK")</f>
        <v>0</v>
      </c>
      <c r="BL4">
        <f>IF(SUM(F4:BD4)=0,0,1)</f>
        <v>0</v>
      </c>
      <c r="BM4">
        <f>IF(AND(BP4&lt;0,L4&lt;=80),80,L4)</f>
        <v>0</v>
      </c>
      <c r="BN4">
        <f>MIN(F4:F15,H4:H15,I4:I15,J4:J15,AZ4:AZ15)</f>
        <v>0</v>
      </c>
      <c r="BO4">
        <f>MAX(F4:F15,H4:H15,I4:I15,J4:J15,AZ4:AZ15)</f>
        <v>0</v>
      </c>
      <c r="BP4">
        <f>IF(AJ4,BP3,F35)</f>
        <v>0</v>
      </c>
    </row>
    <row r="5" spans="1:68">
      <c r="A5">
        <f>A4+1</f>
        <v>0</v>
      </c>
      <c r="B5">
        <f>MOD(INT(C5/60),60)</f>
        <v>0</v>
      </c>
      <c r="C5">
        <f>C4+300</f>
        <v>0</v>
      </c>
      <c r="D5">
        <f>INT(C5/3600)</f>
        <v>0</v>
      </c>
      <c r="E5">
        <f>INT(D5/24)+1</f>
        <v>0</v>
      </c>
      <c r="F5">
        <v>22</v>
      </c>
      <c r="G5">
        <v>0</v>
      </c>
      <c r="H5">
        <f>$F5</f>
        <v>0</v>
      </c>
      <c r="I5">
        <f>$F5</f>
        <v>0</v>
      </c>
      <c r="J5">
        <f>$F5</f>
        <v>0</v>
      </c>
      <c r="K5">
        <v>1</v>
      </c>
      <c r="L5">
        <v>60</v>
      </c>
      <c r="M5">
        <v>0</v>
      </c>
      <c r="N5">
        <v>0</v>
      </c>
      <c r="O5">
        <v>1</v>
      </c>
      <c r="P5">
        <v>450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60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20</v>
      </c>
      <c r="BA5">
        <v>0</v>
      </c>
      <c r="BB5">
        <v>0</v>
      </c>
      <c r="BC5">
        <v>0</v>
      </c>
      <c r="BD5">
        <v>0</v>
      </c>
      <c r="BE5">
        <v>0</v>
      </c>
      <c r="BJ5">
        <f>IF(OR(F36&gt;Config!$D$24,F36&lt;Config!$C$23,BL5=0,BP36&gt;Config!$D$24,BP36&lt;Config!$C$23),"ERR","OK")</f>
        <v>0</v>
      </c>
      <c r="BK5">
        <f>IF(OR(L5&gt;100,L5&lt;7,BL5=0),"ERR","OK")</f>
        <v>0</v>
      </c>
      <c r="BL5">
        <f>IF(SUM(F5:BD5)=0,0,1)</f>
        <v>0</v>
      </c>
      <c r="BM5">
        <f>IF(AND(BP5&lt;0,L5&lt;=80),80,L5)</f>
        <v>0</v>
      </c>
      <c r="BN5">
        <f>MIN(F5:F16,H5:H16,I5:I16,J5:J16,AZ5:AZ16)</f>
        <v>0</v>
      </c>
      <c r="BO5">
        <f>MAX(F5:F16,H5:H16,I5:I16,J5:J16,AZ5:AZ16)</f>
        <v>0</v>
      </c>
      <c r="BP5">
        <f>IF(AJ5,BP4,F36)</f>
        <v>0</v>
      </c>
    </row>
    <row r="6" spans="1:68">
      <c r="A6">
        <f>A5+1</f>
        <v>0</v>
      </c>
      <c r="B6">
        <f>MOD(INT(C6/60),60)</f>
        <v>0</v>
      </c>
      <c r="C6">
        <f>C5+300</f>
        <v>0</v>
      </c>
      <c r="D6">
        <f>INT(C6/3600)</f>
        <v>0</v>
      </c>
      <c r="E6">
        <f>INT(D6/24)+1</f>
        <v>0</v>
      </c>
      <c r="F6">
        <v>22</v>
      </c>
      <c r="G6">
        <v>0</v>
      </c>
      <c r="H6">
        <f>$F6</f>
        <v>0</v>
      </c>
      <c r="I6">
        <f>$F6</f>
        <v>0</v>
      </c>
      <c r="J6">
        <f>$F6</f>
        <v>0</v>
      </c>
      <c r="K6">
        <v>1</v>
      </c>
      <c r="L6">
        <v>60</v>
      </c>
      <c r="M6">
        <v>0</v>
      </c>
      <c r="N6">
        <v>0</v>
      </c>
      <c r="O6">
        <v>1</v>
      </c>
      <c r="P6">
        <v>450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20</v>
      </c>
      <c r="BA6">
        <v>0</v>
      </c>
      <c r="BB6">
        <v>0</v>
      </c>
      <c r="BC6">
        <v>0</v>
      </c>
      <c r="BD6">
        <v>0</v>
      </c>
      <c r="BE6">
        <v>0</v>
      </c>
      <c r="BJ6">
        <f>IF(OR(F37&gt;Config!$D$24,F37&lt;Config!$C$23,BL6=0,BP37&gt;Config!$D$24,BP37&lt;Config!$C$23),"ERR","OK")</f>
        <v>0</v>
      </c>
      <c r="BK6">
        <f>IF(OR(L6&gt;100,L6&lt;7,BL6=0),"ERR","OK")</f>
        <v>0</v>
      </c>
      <c r="BL6">
        <f>IF(SUM(F6:BD6)=0,0,1)</f>
        <v>0</v>
      </c>
      <c r="BM6">
        <f>IF(AND(BP6&lt;0,L6&lt;=80),80,L6)</f>
        <v>0</v>
      </c>
      <c r="BN6">
        <f>MIN(F6:F17,H6:H17,I6:I17,J6:J17,AZ6:AZ17)</f>
        <v>0</v>
      </c>
      <c r="BO6">
        <f>MAX(F6:F17,H6:H17,I6:I17,J6:J17,AZ6:AZ17)</f>
        <v>0</v>
      </c>
      <c r="BP6">
        <f>IF(AJ6,BP5,F37)</f>
        <v>0</v>
      </c>
    </row>
    <row r="7" spans="1:68">
      <c r="A7">
        <f>A6+1</f>
        <v>0</v>
      </c>
      <c r="B7">
        <f>MOD(INT(C7/60),60)</f>
        <v>0</v>
      </c>
      <c r="C7">
        <f>C6+300</f>
        <v>0</v>
      </c>
      <c r="D7">
        <f>INT(C7/3600)</f>
        <v>0</v>
      </c>
      <c r="E7">
        <f>INT(D7/24)+1</f>
        <v>0</v>
      </c>
      <c r="F7">
        <v>22</v>
      </c>
      <c r="G7">
        <v>0</v>
      </c>
      <c r="H7">
        <f>$F7</f>
        <v>0</v>
      </c>
      <c r="I7">
        <f>$F7</f>
        <v>0</v>
      </c>
      <c r="J7">
        <f>$F7</f>
        <v>0</v>
      </c>
      <c r="K7">
        <v>1</v>
      </c>
      <c r="L7">
        <v>60</v>
      </c>
      <c r="M7">
        <v>0</v>
      </c>
      <c r="N7">
        <v>0</v>
      </c>
      <c r="O7">
        <v>1</v>
      </c>
      <c r="P7">
        <v>450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60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20</v>
      </c>
      <c r="BA7">
        <v>0</v>
      </c>
      <c r="BB7">
        <v>0</v>
      </c>
      <c r="BC7">
        <v>0</v>
      </c>
      <c r="BD7">
        <v>0</v>
      </c>
      <c r="BE7">
        <v>0</v>
      </c>
      <c r="BJ7">
        <f>IF(OR(F38&gt;Config!$D$24,F38&lt;Config!$C$23,BL7=0,BP38&gt;Config!$D$24,BP38&lt;Config!$C$23),"ERR","OK")</f>
        <v>0</v>
      </c>
      <c r="BK7">
        <f>IF(OR(L7&gt;100,L7&lt;7,BL7=0),"ERR","OK")</f>
        <v>0</v>
      </c>
      <c r="BL7">
        <f>IF(SUM(F7:BD7)=0,0,1)</f>
        <v>0</v>
      </c>
      <c r="BM7">
        <f>IF(AND(BP7&lt;0,L7&lt;=80),80,L7)</f>
        <v>0</v>
      </c>
      <c r="BN7">
        <f>MIN(F7:F18,H7:H18,I7:I18,J7:J18,AZ7:AZ18)</f>
        <v>0</v>
      </c>
      <c r="BO7">
        <f>MAX(F7:F18,H7:H18,I7:I18,J7:J18,AZ7:AZ18)</f>
        <v>0</v>
      </c>
      <c r="BP7">
        <f>IF(AJ7,BP6,F38)</f>
        <v>0</v>
      </c>
    </row>
    <row r="8" spans="1:68">
      <c r="A8">
        <f>A7+1</f>
        <v>0</v>
      </c>
      <c r="B8">
        <f>MOD(INT(C8/60),60)</f>
        <v>0</v>
      </c>
      <c r="C8">
        <f>C7+300</f>
        <v>0</v>
      </c>
      <c r="D8">
        <f>INT(C8/3600)</f>
        <v>0</v>
      </c>
      <c r="E8">
        <f>INT(D8/24)+1</f>
        <v>0</v>
      </c>
      <c r="F8">
        <v>22</v>
      </c>
      <c r="G8">
        <v>0</v>
      </c>
      <c r="H8">
        <f>$F8</f>
        <v>0</v>
      </c>
      <c r="I8">
        <f>$F8</f>
        <v>0</v>
      </c>
      <c r="J8">
        <f>$F8</f>
        <v>0</v>
      </c>
      <c r="K8">
        <v>1</v>
      </c>
      <c r="L8">
        <v>60</v>
      </c>
      <c r="M8">
        <v>0</v>
      </c>
      <c r="N8">
        <v>0</v>
      </c>
      <c r="O8">
        <v>1</v>
      </c>
      <c r="P8">
        <v>450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60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20</v>
      </c>
      <c r="BA8">
        <v>0</v>
      </c>
      <c r="BB8">
        <v>0</v>
      </c>
      <c r="BC8">
        <v>0</v>
      </c>
      <c r="BD8">
        <v>0</v>
      </c>
      <c r="BE8">
        <v>0</v>
      </c>
      <c r="BJ8">
        <f>IF(OR(F39&gt;Config!$D$24,F39&lt;Config!$C$23,BL8=0,BP39&gt;Config!$D$24,BP39&lt;Config!$C$23),"ERR","OK")</f>
        <v>0</v>
      </c>
      <c r="BK8">
        <f>IF(OR(L8&gt;100,L8&lt;7,BL8=0),"ERR","OK")</f>
        <v>0</v>
      </c>
      <c r="BL8">
        <f>IF(SUM(F8:BD8)=0,0,1)</f>
        <v>0</v>
      </c>
      <c r="BM8">
        <f>IF(AND(BP8&lt;0,L8&lt;=80),80,L8)</f>
        <v>0</v>
      </c>
      <c r="BN8">
        <f>MIN(F8:F19,H8:H19,I8:I19,J8:J19,AZ8:AZ19)</f>
        <v>0</v>
      </c>
      <c r="BO8">
        <f>MAX(F8:F19,H8:H19,I8:I19,J8:J19,AZ8:AZ19)</f>
        <v>0</v>
      </c>
      <c r="BP8">
        <f>IF(AJ8,BP7,F39)</f>
        <v>0</v>
      </c>
    </row>
    <row r="9" spans="1:68">
      <c r="A9">
        <f>A8+1</f>
        <v>0</v>
      </c>
      <c r="B9">
        <f>MOD(INT(C9/60),60)</f>
        <v>0</v>
      </c>
      <c r="C9">
        <f>C8+300</f>
        <v>0</v>
      </c>
      <c r="D9">
        <f>INT(C9/3600)</f>
        <v>0</v>
      </c>
      <c r="E9">
        <f>INT(D9/24)+1</f>
        <v>0</v>
      </c>
      <c r="F9">
        <v>22</v>
      </c>
      <c r="G9">
        <v>0</v>
      </c>
      <c r="H9">
        <f>$F9</f>
        <v>0</v>
      </c>
      <c r="I9">
        <f>$F9</f>
        <v>0</v>
      </c>
      <c r="J9">
        <f>$F9</f>
        <v>0</v>
      </c>
      <c r="K9">
        <v>1</v>
      </c>
      <c r="L9">
        <v>60</v>
      </c>
      <c r="M9">
        <v>0</v>
      </c>
      <c r="N9">
        <v>0</v>
      </c>
      <c r="O9">
        <v>1</v>
      </c>
      <c r="P9">
        <v>450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60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20</v>
      </c>
      <c r="BA9">
        <v>0</v>
      </c>
      <c r="BB9">
        <v>0</v>
      </c>
      <c r="BC9">
        <v>0</v>
      </c>
      <c r="BD9">
        <v>0</v>
      </c>
      <c r="BE9">
        <v>0</v>
      </c>
      <c r="BJ9">
        <f>IF(OR(F40&gt;Config!$D$24,F40&lt;Config!$C$23,BL9=0,BP40&gt;Config!$D$24,BP40&lt;Config!$C$23),"ERR","OK")</f>
        <v>0</v>
      </c>
      <c r="BK9">
        <f>IF(OR(L9&gt;100,L9&lt;7,BL9=0),"ERR","OK")</f>
        <v>0</v>
      </c>
      <c r="BL9">
        <f>IF(SUM(F9:BD9)=0,0,1)</f>
        <v>0</v>
      </c>
      <c r="BM9">
        <f>IF(AND(BP9&lt;0,L9&lt;=80),80,L9)</f>
        <v>0</v>
      </c>
      <c r="BN9">
        <f>MIN(F9:F20,H9:H20,I9:I20,J9:J20,AZ9:AZ20)</f>
        <v>0</v>
      </c>
      <c r="BO9">
        <f>MAX(F9:F20,H9:H20,I9:I20,J9:J20,AZ9:AZ20)</f>
        <v>0</v>
      </c>
      <c r="BP9">
        <f>IF(AJ9,BP8,F40)</f>
        <v>0</v>
      </c>
    </row>
    <row r="10" spans="1:68">
      <c r="A10">
        <f>A9+1</f>
        <v>0</v>
      </c>
      <c r="B10">
        <f>MOD(INT(C10/60),60)</f>
        <v>0</v>
      </c>
      <c r="C10">
        <f>C9+300</f>
        <v>0</v>
      </c>
      <c r="D10">
        <f>INT(C10/3600)</f>
        <v>0</v>
      </c>
      <c r="E10">
        <f>INT(D10/24)+1</f>
        <v>0</v>
      </c>
      <c r="F10">
        <v>22</v>
      </c>
      <c r="G10">
        <v>0</v>
      </c>
      <c r="H10">
        <f>$F10</f>
        <v>0</v>
      </c>
      <c r="I10">
        <f>$F10</f>
        <v>0</v>
      </c>
      <c r="J10">
        <f>$F10</f>
        <v>0</v>
      </c>
      <c r="K10">
        <v>1</v>
      </c>
      <c r="L10">
        <v>60</v>
      </c>
      <c r="M10">
        <v>0</v>
      </c>
      <c r="N10">
        <v>0</v>
      </c>
      <c r="O10">
        <v>1</v>
      </c>
      <c r="P10">
        <v>450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60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20</v>
      </c>
      <c r="BA10">
        <v>0</v>
      </c>
      <c r="BB10">
        <v>0</v>
      </c>
      <c r="BC10">
        <v>0</v>
      </c>
      <c r="BD10">
        <v>0</v>
      </c>
      <c r="BE10">
        <v>0</v>
      </c>
      <c r="BJ10">
        <f>IF(OR(F41&gt;Config!$D$24,F41&lt;Config!$C$23,BL10=0,BP41&gt;Config!$D$24,BP41&lt;Config!$C$23),"ERR","OK")</f>
        <v>0</v>
      </c>
      <c r="BK10">
        <f>IF(OR(L10&gt;100,L10&lt;7,BL10=0),"ERR","OK")</f>
        <v>0</v>
      </c>
      <c r="BL10">
        <f>IF(SUM(F10:BD10)=0,0,1)</f>
        <v>0</v>
      </c>
      <c r="BM10">
        <f>IF(AND(BP10&lt;0,L10&lt;=80),80,L10)</f>
        <v>0</v>
      </c>
      <c r="BN10">
        <f>MIN(F10:F21,H10:H21,I10:I21,J10:J21,AZ10:AZ21)</f>
        <v>0</v>
      </c>
      <c r="BO10">
        <f>MAX(F10:F21,H10:H21,I10:I21,J10:J21,AZ10:AZ21)</f>
        <v>0</v>
      </c>
      <c r="BP10">
        <f>IF(AJ10,BP9,F41)</f>
        <v>0</v>
      </c>
    </row>
    <row r="11" spans="1:68">
      <c r="A11">
        <f>A10+1</f>
        <v>0</v>
      </c>
      <c r="B11">
        <f>MOD(INT(C11/60),60)</f>
        <v>0</v>
      </c>
      <c r="C11">
        <f>C10+300</f>
        <v>0</v>
      </c>
      <c r="D11">
        <f>INT(C11/3600)</f>
        <v>0</v>
      </c>
      <c r="E11">
        <f>INT(D11/24)+1</f>
        <v>0</v>
      </c>
      <c r="F11">
        <v>22</v>
      </c>
      <c r="G11">
        <v>0</v>
      </c>
      <c r="H11">
        <f>$F11</f>
        <v>0</v>
      </c>
      <c r="I11">
        <f>$F11</f>
        <v>0</v>
      </c>
      <c r="J11">
        <f>$F11</f>
        <v>0</v>
      </c>
      <c r="K11">
        <v>1</v>
      </c>
      <c r="L11">
        <v>60</v>
      </c>
      <c r="M11">
        <v>0</v>
      </c>
      <c r="N11">
        <v>0</v>
      </c>
      <c r="O11">
        <v>1</v>
      </c>
      <c r="P11">
        <v>450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60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20</v>
      </c>
      <c r="BA11">
        <v>0</v>
      </c>
      <c r="BB11">
        <v>0</v>
      </c>
      <c r="BC11">
        <v>0</v>
      </c>
      <c r="BD11">
        <v>0</v>
      </c>
      <c r="BE11">
        <v>0</v>
      </c>
      <c r="BJ11">
        <f>IF(OR(F42&gt;Config!$D$24,F42&lt;Config!$C$23,BL11=0,BP42&gt;Config!$D$24,BP42&lt;Config!$C$23),"ERR","OK")</f>
        <v>0</v>
      </c>
      <c r="BK11">
        <f>IF(OR(L11&gt;100,L11&lt;7,BL11=0),"ERR","OK")</f>
        <v>0</v>
      </c>
      <c r="BL11">
        <f>IF(SUM(F11:BD11)=0,0,1)</f>
        <v>0</v>
      </c>
      <c r="BM11">
        <f>IF(AND(BP11&lt;0,L11&lt;=80),80,L11)</f>
        <v>0</v>
      </c>
      <c r="BN11">
        <f>MIN(F11:F22,H11:H22,I11:I22,J11:J22,AZ11:AZ22)</f>
        <v>0</v>
      </c>
      <c r="BO11">
        <f>MAX(F11:F22,H11:H22,I11:I22,J11:J22,AZ11:AZ22)</f>
        <v>0</v>
      </c>
      <c r="BP11">
        <f>IF(AJ11,BP10,F42)</f>
        <v>0</v>
      </c>
    </row>
    <row r="12" spans="1:68">
      <c r="A12">
        <f>A11+1</f>
        <v>0</v>
      </c>
      <c r="B12">
        <f>MOD(INT(C12/60),60)</f>
        <v>0</v>
      </c>
      <c r="C12">
        <f>C11+300</f>
        <v>0</v>
      </c>
      <c r="D12">
        <f>INT(C12/3600)</f>
        <v>0</v>
      </c>
      <c r="E12">
        <f>INT(D12/24)+1</f>
        <v>0</v>
      </c>
      <c r="F12">
        <v>22</v>
      </c>
      <c r="G12">
        <v>0</v>
      </c>
      <c r="H12">
        <f>$F12</f>
        <v>0</v>
      </c>
      <c r="I12">
        <f>$F12</f>
        <v>0</v>
      </c>
      <c r="J12">
        <f>$F12</f>
        <v>0</v>
      </c>
      <c r="K12">
        <v>1</v>
      </c>
      <c r="L12">
        <v>60</v>
      </c>
      <c r="M12">
        <v>0</v>
      </c>
      <c r="N12">
        <v>0</v>
      </c>
      <c r="O12">
        <v>1</v>
      </c>
      <c r="P12">
        <v>450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60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20</v>
      </c>
      <c r="BA12">
        <v>0</v>
      </c>
      <c r="BB12">
        <v>0</v>
      </c>
      <c r="BC12">
        <v>0</v>
      </c>
      <c r="BD12">
        <v>0</v>
      </c>
      <c r="BE12">
        <v>0</v>
      </c>
      <c r="BJ12">
        <f>IF(OR(F43&gt;Config!$D$24,F43&lt;Config!$C$23,BL12=0,BP43&gt;Config!$D$24,BP43&lt;Config!$C$23),"ERR","OK")</f>
        <v>0</v>
      </c>
      <c r="BK12">
        <f>IF(OR(L12&gt;100,L12&lt;7,BL12=0),"ERR","OK")</f>
        <v>0</v>
      </c>
      <c r="BL12">
        <f>IF(SUM(F12:BD12)=0,0,1)</f>
        <v>0</v>
      </c>
      <c r="BM12">
        <f>IF(AND(BP12&lt;0,L12&lt;=80),80,L12)</f>
        <v>0</v>
      </c>
      <c r="BN12">
        <f>MIN(F12:F23,H12:H23,I12:I23,J12:J23,AZ12:AZ23)</f>
        <v>0</v>
      </c>
      <c r="BO12">
        <f>MAX(F12:F23,H12:H23,I12:I23,J12:J23,AZ12:AZ23)</f>
        <v>0</v>
      </c>
      <c r="BP12">
        <f>IF(AJ12,BP11,F43)</f>
        <v>0</v>
      </c>
    </row>
    <row r="13" spans="1:68">
      <c r="A13">
        <f>A12+1</f>
        <v>0</v>
      </c>
      <c r="B13">
        <f>MOD(INT(C13/60),60)</f>
        <v>0</v>
      </c>
      <c r="C13">
        <f>C12+300</f>
        <v>0</v>
      </c>
      <c r="D13">
        <f>INT(C13/3600)</f>
        <v>0</v>
      </c>
      <c r="E13">
        <f>INT(D13/24)+1</f>
        <v>0</v>
      </c>
      <c r="F13">
        <v>22</v>
      </c>
      <c r="G13">
        <v>0</v>
      </c>
      <c r="H13">
        <f>$F13</f>
        <v>0</v>
      </c>
      <c r="I13">
        <f>$F13</f>
        <v>0</v>
      </c>
      <c r="J13">
        <f>$F13</f>
        <v>0</v>
      </c>
      <c r="K13">
        <v>1</v>
      </c>
      <c r="L13">
        <v>60</v>
      </c>
      <c r="M13">
        <v>0</v>
      </c>
      <c r="N13">
        <v>0</v>
      </c>
      <c r="O13">
        <v>1</v>
      </c>
      <c r="P13">
        <v>450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60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20</v>
      </c>
      <c r="BA13">
        <v>0</v>
      </c>
      <c r="BB13">
        <v>0</v>
      </c>
      <c r="BC13">
        <v>0</v>
      </c>
      <c r="BD13">
        <v>0</v>
      </c>
      <c r="BE13">
        <v>0</v>
      </c>
      <c r="BJ13">
        <f>IF(OR(F44&gt;Config!$D$24,F44&lt;Config!$C$23,BL13=0,BP44&gt;Config!$D$24,BP44&lt;Config!$C$23),"ERR","OK")</f>
        <v>0</v>
      </c>
      <c r="BK13">
        <f>IF(OR(L13&gt;100,L13&lt;7,BL13=0),"ERR","OK")</f>
        <v>0</v>
      </c>
      <c r="BL13">
        <f>IF(SUM(F13:BD13)=0,0,1)</f>
        <v>0</v>
      </c>
      <c r="BM13">
        <f>IF(AND(BP13&lt;0,L13&lt;=80),80,L13)</f>
        <v>0</v>
      </c>
      <c r="BN13">
        <f>MIN(F13:F24,H13:H24,I13:I24,J13:J24,AZ13:AZ24)</f>
        <v>0</v>
      </c>
      <c r="BO13">
        <f>MAX(F13:F24,H13:H24,I13:I24,J13:J24,AZ13:AZ24)</f>
        <v>0</v>
      </c>
      <c r="BP13">
        <f>IF(AJ13,BP12,F44)</f>
        <v>0</v>
      </c>
    </row>
    <row r="14" spans="1:68">
      <c r="A14">
        <f>A13+1</f>
        <v>0</v>
      </c>
      <c r="B14">
        <f>MOD(INT(C14/60),60)</f>
        <v>0</v>
      </c>
      <c r="C14">
        <f>C13+300</f>
        <v>0</v>
      </c>
      <c r="D14">
        <f>INT(C14/3600)</f>
        <v>0</v>
      </c>
      <c r="E14">
        <f>INT(D14/24)+1</f>
        <v>0</v>
      </c>
      <c r="F14">
        <v>22</v>
      </c>
      <c r="G14">
        <v>0</v>
      </c>
      <c r="H14">
        <f>$F14</f>
        <v>0</v>
      </c>
      <c r="I14">
        <f>$F14</f>
        <v>0</v>
      </c>
      <c r="J14">
        <f>$F14</f>
        <v>0</v>
      </c>
      <c r="K14">
        <v>1</v>
      </c>
      <c r="L14">
        <v>60</v>
      </c>
      <c r="M14">
        <v>0</v>
      </c>
      <c r="N14">
        <v>0</v>
      </c>
      <c r="O14">
        <v>1</v>
      </c>
      <c r="P14">
        <v>450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60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20</v>
      </c>
      <c r="BA14">
        <v>0</v>
      </c>
      <c r="BB14">
        <v>0</v>
      </c>
      <c r="BC14">
        <v>0</v>
      </c>
      <c r="BD14">
        <v>0</v>
      </c>
      <c r="BE14">
        <v>0</v>
      </c>
      <c r="BJ14">
        <f>IF(OR(F45&gt;Config!$D$24,F45&lt;Config!$C$23,BL14=0,BP45&gt;Config!$D$24,BP45&lt;Config!$C$23),"ERR","OK")</f>
        <v>0</v>
      </c>
      <c r="BK14">
        <f>IF(OR(L14&gt;100,L14&lt;7,BL14=0),"ERR","OK")</f>
        <v>0</v>
      </c>
      <c r="BL14">
        <f>IF(SUM(F14:BD14)=0,0,1)</f>
        <v>0</v>
      </c>
      <c r="BM14">
        <f>IF(AND(BP14&lt;0,L14&lt;=80),80,L14)</f>
        <v>0</v>
      </c>
      <c r="BN14">
        <f>MIN(F14:F25,H14:H25,I14:I25,J14:J25,AZ14:AZ25)</f>
        <v>0</v>
      </c>
      <c r="BO14">
        <f>MAX(F14:F25,H14:H25,I14:I25,J14:J25,AZ14:AZ25)</f>
        <v>0</v>
      </c>
      <c r="BP14">
        <f>IF(AJ14,BP13,F45)</f>
        <v>0</v>
      </c>
    </row>
    <row r="15" spans="1:68">
      <c r="A15">
        <f>A14+1</f>
        <v>0</v>
      </c>
      <c r="B15">
        <f>MOD(INT(C15/60),60)</f>
        <v>0</v>
      </c>
      <c r="C15">
        <f>C14+300</f>
        <v>0</v>
      </c>
      <c r="D15">
        <f>INT(C15/3600)</f>
        <v>0</v>
      </c>
      <c r="E15">
        <f>INT(D15/24)+1</f>
        <v>0</v>
      </c>
      <c r="F15">
        <v>22</v>
      </c>
      <c r="G15">
        <v>0</v>
      </c>
      <c r="H15">
        <f>$F15</f>
        <v>0</v>
      </c>
      <c r="I15">
        <f>$F15</f>
        <v>0</v>
      </c>
      <c r="J15">
        <f>$F15</f>
        <v>0</v>
      </c>
      <c r="K15">
        <v>1</v>
      </c>
      <c r="L15">
        <v>60</v>
      </c>
      <c r="M15">
        <v>0</v>
      </c>
      <c r="N15">
        <v>0</v>
      </c>
      <c r="O15">
        <v>1</v>
      </c>
      <c r="P15">
        <v>450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60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20</v>
      </c>
      <c r="BA15">
        <v>0</v>
      </c>
      <c r="BB15">
        <v>0</v>
      </c>
      <c r="BC15">
        <v>0</v>
      </c>
      <c r="BD15">
        <v>0</v>
      </c>
      <c r="BE15">
        <v>0</v>
      </c>
      <c r="BJ15">
        <f>IF(OR(F46&gt;Config!$D$24,F46&lt;Config!$C$23,BL15=0,BP46&gt;Config!$D$24,BP46&lt;Config!$C$23),"ERR","OK")</f>
        <v>0</v>
      </c>
      <c r="BK15">
        <f>IF(OR(L15&gt;100,L15&lt;7,BL15=0),"ERR","OK")</f>
        <v>0</v>
      </c>
      <c r="BL15">
        <f>IF(SUM(F15:BD15)=0,0,1)</f>
        <v>0</v>
      </c>
      <c r="BM15">
        <f>IF(AND(BP15&lt;0,L15&lt;=80),80,L15)</f>
        <v>0</v>
      </c>
      <c r="BN15">
        <f>MIN(F15:F26,H15:H26,I15:I26,J15:J26,AZ15:AZ26)</f>
        <v>0</v>
      </c>
      <c r="BO15">
        <f>MAX(F15:F26,H15:H26,I15:I26,J15:J26,AZ15:AZ26)</f>
        <v>0</v>
      </c>
      <c r="BP15">
        <f>IF(AJ15,BP14,F46)</f>
        <v>0</v>
      </c>
    </row>
    <row r="16" spans="1:68">
      <c r="A16">
        <f>A15+1</f>
        <v>0</v>
      </c>
      <c r="B16">
        <f>MOD(INT(C16/60),60)</f>
        <v>0</v>
      </c>
      <c r="C16">
        <f>C15+300</f>
        <v>0</v>
      </c>
      <c r="D16">
        <f>INT(C16/3600)</f>
        <v>0</v>
      </c>
      <c r="E16">
        <f>INT(D16/24)+1</f>
        <v>0</v>
      </c>
      <c r="F16">
        <v>22</v>
      </c>
      <c r="G16">
        <v>0</v>
      </c>
      <c r="H16">
        <f>$F16</f>
        <v>0</v>
      </c>
      <c r="I16">
        <f>$F16</f>
        <v>0</v>
      </c>
      <c r="J16">
        <f>$F16</f>
        <v>0</v>
      </c>
      <c r="K16">
        <v>1</v>
      </c>
      <c r="L16">
        <v>60</v>
      </c>
      <c r="M16">
        <v>0</v>
      </c>
      <c r="N16">
        <v>0</v>
      </c>
      <c r="O16">
        <v>1</v>
      </c>
      <c r="P16">
        <v>450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60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20</v>
      </c>
      <c r="BA16">
        <v>0</v>
      </c>
      <c r="BB16">
        <v>0</v>
      </c>
      <c r="BC16">
        <v>0</v>
      </c>
      <c r="BD16">
        <v>0</v>
      </c>
      <c r="BE16">
        <v>0</v>
      </c>
      <c r="BJ16">
        <f>IF(OR(F47&gt;Config!$D$24,F47&lt;Config!$C$23,BL16=0,BP47&gt;Config!$D$24,BP47&lt;Config!$C$23),"ERR","OK")</f>
        <v>0</v>
      </c>
      <c r="BK16">
        <f>IF(OR(L16&gt;100,L16&lt;7,BL16=0),"ERR","OK")</f>
        <v>0</v>
      </c>
      <c r="BL16">
        <f>IF(SUM(F16:BD16)=0,0,1)</f>
        <v>0</v>
      </c>
      <c r="BM16">
        <f>IF(AND(BP16&lt;0,L16&lt;=80),80,L16)</f>
        <v>0</v>
      </c>
      <c r="BN16">
        <f>MIN(F16:F27,H16:H27,I16:I27,J16:J27,AZ16:AZ27)</f>
        <v>0</v>
      </c>
      <c r="BO16">
        <f>MAX(F16:F27,H16:H27,I16:I27,J16:J27,AZ16:AZ27)</f>
        <v>0</v>
      </c>
      <c r="BP16">
        <f>IF(AJ16,BP15,F47)</f>
        <v>0</v>
      </c>
    </row>
    <row r="17" spans="1:68">
      <c r="A17">
        <f>A16+1</f>
        <v>0</v>
      </c>
      <c r="B17">
        <f>MOD(INT(C17/60),60)</f>
        <v>0</v>
      </c>
      <c r="C17">
        <f>C16+300</f>
        <v>0</v>
      </c>
      <c r="D17">
        <f>INT(C17/3600)</f>
        <v>0</v>
      </c>
      <c r="E17">
        <f>INT(D17/24)+1</f>
        <v>0</v>
      </c>
      <c r="F17">
        <v>22</v>
      </c>
      <c r="G17">
        <v>0</v>
      </c>
      <c r="H17">
        <f>$F17</f>
        <v>0</v>
      </c>
      <c r="I17">
        <f>$F17</f>
        <v>0</v>
      </c>
      <c r="J17">
        <f>$F17</f>
        <v>0</v>
      </c>
      <c r="K17">
        <v>1</v>
      </c>
      <c r="L17">
        <v>60</v>
      </c>
      <c r="M17">
        <v>0</v>
      </c>
      <c r="N17">
        <v>0</v>
      </c>
      <c r="O17">
        <v>1</v>
      </c>
      <c r="P17">
        <v>450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60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20</v>
      </c>
      <c r="BA17">
        <v>0</v>
      </c>
      <c r="BB17">
        <v>0</v>
      </c>
      <c r="BC17">
        <v>0</v>
      </c>
      <c r="BD17">
        <v>0</v>
      </c>
      <c r="BE17">
        <v>0</v>
      </c>
      <c r="BJ17">
        <f>IF(OR(F48&gt;Config!$D$24,F48&lt;Config!$C$23,BL17=0,BP48&gt;Config!$D$24,BP48&lt;Config!$C$23),"ERR","OK")</f>
        <v>0</v>
      </c>
      <c r="BK17">
        <f>IF(OR(L17&gt;100,L17&lt;7,BL17=0),"ERR","OK")</f>
        <v>0</v>
      </c>
      <c r="BL17">
        <f>IF(SUM(F17:BD17)=0,0,1)</f>
        <v>0</v>
      </c>
      <c r="BM17">
        <f>IF(AND(BP17&lt;0,L17&lt;=80),80,L17)</f>
        <v>0</v>
      </c>
      <c r="BN17">
        <f>MIN(F17:F28,H17:H28,I17:I28,J17:J28,AZ17:AZ28)</f>
        <v>0</v>
      </c>
      <c r="BO17">
        <f>MAX(F17:F28,H17:H28,I17:I28,J17:J28,AZ17:AZ28)</f>
        <v>0</v>
      </c>
      <c r="BP17">
        <f>IF(AJ17,BP16,F48)</f>
        <v>0</v>
      </c>
    </row>
    <row r="18" spans="1:68">
      <c r="A18">
        <f>A17+1</f>
        <v>0</v>
      </c>
      <c r="B18">
        <f>MOD(INT(C18/60),60)</f>
        <v>0</v>
      </c>
      <c r="C18">
        <f>C17+300</f>
        <v>0</v>
      </c>
      <c r="D18">
        <f>INT(C18/3600)</f>
        <v>0</v>
      </c>
      <c r="E18">
        <f>INT(D18/24)+1</f>
        <v>0</v>
      </c>
      <c r="F18">
        <v>22</v>
      </c>
      <c r="G18">
        <v>0</v>
      </c>
      <c r="H18">
        <f>$F18</f>
        <v>0</v>
      </c>
      <c r="I18">
        <f>$F18</f>
        <v>0</v>
      </c>
      <c r="J18">
        <f>$F18</f>
        <v>0</v>
      </c>
      <c r="K18">
        <v>1</v>
      </c>
      <c r="L18">
        <v>60</v>
      </c>
      <c r="M18">
        <v>0</v>
      </c>
      <c r="N18">
        <v>0</v>
      </c>
      <c r="O18">
        <v>1</v>
      </c>
      <c r="P18">
        <v>450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60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20</v>
      </c>
      <c r="BA18">
        <v>0</v>
      </c>
      <c r="BB18">
        <v>0</v>
      </c>
      <c r="BC18">
        <v>0</v>
      </c>
      <c r="BD18">
        <v>0</v>
      </c>
      <c r="BE18">
        <v>0</v>
      </c>
      <c r="BJ18">
        <f>IF(OR(F49&gt;Config!$D$24,F49&lt;Config!$C$23,BL18=0,BP49&gt;Config!$D$24,BP49&lt;Config!$C$23),"ERR","OK")</f>
        <v>0</v>
      </c>
      <c r="BK18">
        <f>IF(OR(L18&gt;100,L18&lt;7,BL18=0),"ERR","OK")</f>
        <v>0</v>
      </c>
      <c r="BL18">
        <f>IF(SUM(F18:BD18)=0,0,1)</f>
        <v>0</v>
      </c>
      <c r="BM18">
        <f>IF(AND(BP18&lt;0,L18&lt;=80),80,L18)</f>
        <v>0</v>
      </c>
      <c r="BN18">
        <f>MIN(F18:F29,H18:H29,I18:I29,J18:J29,AZ18:AZ29)</f>
        <v>0</v>
      </c>
      <c r="BO18">
        <f>MAX(F18:F29,H18:H29,I18:I29,J18:J29,AZ18:AZ29)</f>
        <v>0</v>
      </c>
      <c r="BP18">
        <f>IF(AJ18,BP17,F49)</f>
        <v>0</v>
      </c>
    </row>
    <row r="19" spans="1:68">
      <c r="A19">
        <f>A18+1</f>
        <v>0</v>
      </c>
      <c r="B19">
        <f>MOD(INT(C19/60),60)</f>
        <v>0</v>
      </c>
      <c r="C19">
        <f>C18+300</f>
        <v>0</v>
      </c>
      <c r="D19">
        <f>INT(C19/3600)</f>
        <v>0</v>
      </c>
      <c r="E19">
        <f>INT(D19/24)+1</f>
        <v>0</v>
      </c>
      <c r="F19">
        <v>22</v>
      </c>
      <c r="G19">
        <v>0</v>
      </c>
      <c r="H19">
        <f>$F19</f>
        <v>0</v>
      </c>
      <c r="I19">
        <f>$F19</f>
        <v>0</v>
      </c>
      <c r="J19">
        <f>$F19</f>
        <v>0</v>
      </c>
      <c r="K19">
        <v>1</v>
      </c>
      <c r="L19">
        <v>60</v>
      </c>
      <c r="M19">
        <v>0</v>
      </c>
      <c r="N19">
        <v>0</v>
      </c>
      <c r="O19">
        <v>1</v>
      </c>
      <c r="P19">
        <v>450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60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20</v>
      </c>
      <c r="BA19">
        <v>0</v>
      </c>
      <c r="BB19">
        <v>0</v>
      </c>
      <c r="BC19">
        <v>0</v>
      </c>
      <c r="BD19">
        <v>0</v>
      </c>
      <c r="BE19">
        <v>0</v>
      </c>
      <c r="BJ19">
        <f>IF(OR(F50&gt;Config!$D$24,F50&lt;Config!$C$23,BL19=0,BP50&gt;Config!$D$24,BP50&lt;Config!$C$23),"ERR","OK")</f>
        <v>0</v>
      </c>
      <c r="BK19">
        <f>IF(OR(L19&gt;100,L19&lt;7,BL19=0),"ERR","OK")</f>
        <v>0</v>
      </c>
      <c r="BL19">
        <f>IF(SUM(F19:BD19)=0,0,1)</f>
        <v>0</v>
      </c>
      <c r="BM19">
        <f>IF(AND(BP19&lt;0,L19&lt;=80),80,L19)</f>
        <v>0</v>
      </c>
      <c r="BN19">
        <f>MIN(F19:F30,H19:H30,I19:I30,J19:J30,AZ19:AZ30)</f>
        <v>0</v>
      </c>
      <c r="BO19">
        <f>MAX(F19:F30,H19:H30,I19:I30,J19:J30,AZ19:AZ30)</f>
        <v>0</v>
      </c>
      <c r="BP19">
        <f>IF(AJ19,BP18,F50)</f>
        <v>0</v>
      </c>
    </row>
    <row r="20" spans="1:68">
      <c r="A20">
        <f>A19+1</f>
        <v>0</v>
      </c>
      <c r="B20">
        <f>MOD(INT(C20/60),60)</f>
        <v>0</v>
      </c>
      <c r="C20">
        <f>C19+300</f>
        <v>0</v>
      </c>
      <c r="D20">
        <f>INT(C20/3600)</f>
        <v>0</v>
      </c>
      <c r="E20">
        <f>INT(D20/24)+1</f>
        <v>0</v>
      </c>
      <c r="F20">
        <v>22</v>
      </c>
      <c r="G20">
        <v>0</v>
      </c>
      <c r="H20">
        <f>$F20</f>
        <v>0</v>
      </c>
      <c r="I20">
        <f>$F20</f>
        <v>0</v>
      </c>
      <c r="J20">
        <f>$F20</f>
        <v>0</v>
      </c>
      <c r="K20">
        <v>1</v>
      </c>
      <c r="L20">
        <v>60</v>
      </c>
      <c r="M20">
        <v>0</v>
      </c>
      <c r="N20">
        <v>0</v>
      </c>
      <c r="O20">
        <v>1</v>
      </c>
      <c r="P20">
        <v>450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60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20</v>
      </c>
      <c r="BA20">
        <v>0</v>
      </c>
      <c r="BB20">
        <v>0</v>
      </c>
      <c r="BC20">
        <v>0</v>
      </c>
      <c r="BD20">
        <v>0</v>
      </c>
      <c r="BE20">
        <v>0</v>
      </c>
      <c r="BJ20">
        <f>IF(OR(F51&gt;Config!$D$24,F51&lt;Config!$C$23,BL20=0,BP51&gt;Config!$D$24,BP51&lt;Config!$C$23),"ERR","OK")</f>
        <v>0</v>
      </c>
      <c r="BK20">
        <f>IF(OR(L20&gt;100,L20&lt;7,BL20=0),"ERR","OK")</f>
        <v>0</v>
      </c>
      <c r="BL20">
        <f>IF(SUM(F20:BD20)=0,0,1)</f>
        <v>0</v>
      </c>
      <c r="BM20">
        <f>IF(AND(BP20&lt;0,L20&lt;=80),80,L20)</f>
        <v>0</v>
      </c>
      <c r="BN20">
        <f>MIN(F20:F31,H20:H31,I20:I31,J20:J31,AZ20:AZ31)</f>
        <v>0</v>
      </c>
      <c r="BO20">
        <f>MAX(F20:F31,H20:H31,I20:I31,J20:J31,AZ20:AZ31)</f>
        <v>0</v>
      </c>
      <c r="BP20">
        <f>IF(AJ20,BP19,F51)</f>
        <v>0</v>
      </c>
    </row>
    <row r="21" spans="1:68">
      <c r="A21">
        <f>A20+1</f>
        <v>0</v>
      </c>
      <c r="B21">
        <f>MOD(INT(C21/60),60)</f>
        <v>0</v>
      </c>
      <c r="C21">
        <f>C20+300</f>
        <v>0</v>
      </c>
      <c r="D21">
        <f>INT(C21/3600)</f>
        <v>0</v>
      </c>
      <c r="E21">
        <f>INT(D21/24)+1</f>
        <v>0</v>
      </c>
      <c r="F21">
        <v>22</v>
      </c>
      <c r="G21">
        <v>0</v>
      </c>
      <c r="H21">
        <f>$F21</f>
        <v>0</v>
      </c>
      <c r="I21">
        <f>$F21</f>
        <v>0</v>
      </c>
      <c r="J21">
        <f>$F21</f>
        <v>0</v>
      </c>
      <c r="K21">
        <v>1</v>
      </c>
      <c r="L21">
        <v>60</v>
      </c>
      <c r="M21">
        <v>0</v>
      </c>
      <c r="N21">
        <v>0</v>
      </c>
      <c r="O21">
        <v>1</v>
      </c>
      <c r="P21">
        <v>450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60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20</v>
      </c>
      <c r="BA21">
        <v>0</v>
      </c>
      <c r="BB21">
        <v>0</v>
      </c>
      <c r="BC21">
        <v>0</v>
      </c>
      <c r="BD21">
        <v>0</v>
      </c>
      <c r="BE21">
        <v>0</v>
      </c>
      <c r="BJ21">
        <f>IF(OR(F52&gt;Config!$D$24,F52&lt;Config!$C$23,BL21=0,BP52&gt;Config!$D$24,BP52&lt;Config!$C$23),"ERR","OK")</f>
        <v>0</v>
      </c>
      <c r="BK21">
        <f>IF(OR(L21&gt;100,L21&lt;7,BL21=0),"ERR","OK")</f>
        <v>0</v>
      </c>
      <c r="BL21">
        <f>IF(SUM(F21:BD21)=0,0,1)</f>
        <v>0</v>
      </c>
      <c r="BM21">
        <f>IF(AND(BP21&lt;0,L21&lt;=80),80,L21)</f>
        <v>0</v>
      </c>
      <c r="BN21">
        <f>MIN(F21:F32,H21:H32,I21:I32,J21:J32,AZ21:AZ32)</f>
        <v>0</v>
      </c>
      <c r="BO21">
        <f>MAX(F21:F32,H21:H32,I21:I32,J21:J32,AZ21:AZ32)</f>
        <v>0</v>
      </c>
      <c r="BP21">
        <f>IF(AJ21,BP20,F52)</f>
        <v>0</v>
      </c>
    </row>
    <row r="22" spans="1:68">
      <c r="A22">
        <f>A21+1</f>
        <v>0</v>
      </c>
      <c r="B22">
        <f>MOD(INT(C22/60),60)</f>
        <v>0</v>
      </c>
      <c r="C22">
        <f>C21+300</f>
        <v>0</v>
      </c>
      <c r="D22">
        <f>INT(C22/3600)</f>
        <v>0</v>
      </c>
      <c r="E22">
        <f>INT(D22/24)+1</f>
        <v>0</v>
      </c>
      <c r="F22">
        <v>22</v>
      </c>
      <c r="G22">
        <v>0</v>
      </c>
      <c r="H22">
        <f>$F22</f>
        <v>0</v>
      </c>
      <c r="I22">
        <f>$F22</f>
        <v>0</v>
      </c>
      <c r="J22">
        <f>$F22</f>
        <v>0</v>
      </c>
      <c r="K22">
        <v>1</v>
      </c>
      <c r="L22">
        <v>60</v>
      </c>
      <c r="M22">
        <v>0</v>
      </c>
      <c r="N22">
        <v>0</v>
      </c>
      <c r="O22">
        <v>1</v>
      </c>
      <c r="P22">
        <v>450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60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20</v>
      </c>
      <c r="BA22">
        <v>0</v>
      </c>
      <c r="BB22">
        <v>0</v>
      </c>
      <c r="BC22">
        <v>0</v>
      </c>
      <c r="BD22">
        <v>0</v>
      </c>
      <c r="BE22">
        <v>0</v>
      </c>
      <c r="BJ22">
        <f>IF(OR(F53&gt;Config!$D$24,F53&lt;Config!$C$23,BL22=0,BP53&gt;Config!$D$24,BP53&lt;Config!$C$23),"ERR","OK")</f>
        <v>0</v>
      </c>
      <c r="BK22">
        <f>IF(OR(L22&gt;100,L22&lt;7,BL22=0),"ERR","OK")</f>
        <v>0</v>
      </c>
      <c r="BL22">
        <f>IF(SUM(F22:BD22)=0,0,1)</f>
        <v>0</v>
      </c>
      <c r="BM22">
        <f>IF(AND(BP22&lt;0,L22&lt;=80),80,L22)</f>
        <v>0</v>
      </c>
      <c r="BN22">
        <f>MIN(F22:F33,H22:H33,I22:I33,J22:J33,AZ22:AZ33)</f>
        <v>0</v>
      </c>
      <c r="BO22">
        <f>MAX(F22:F33,H22:H33,I22:I33,J22:J33,AZ22:AZ33)</f>
        <v>0</v>
      </c>
      <c r="BP22">
        <f>IF(AJ22,BP21,F53)</f>
        <v>0</v>
      </c>
    </row>
    <row r="23" spans="1:68">
      <c r="A23">
        <f>A22+1</f>
        <v>0</v>
      </c>
      <c r="B23">
        <f>MOD(INT(C23/60),60)</f>
        <v>0</v>
      </c>
      <c r="C23">
        <f>C22+300</f>
        <v>0</v>
      </c>
      <c r="D23">
        <f>INT(C23/3600)</f>
        <v>0</v>
      </c>
      <c r="E23">
        <f>INT(D23/24)+1</f>
        <v>0</v>
      </c>
      <c r="F23">
        <v>22</v>
      </c>
      <c r="G23">
        <v>0</v>
      </c>
      <c r="H23">
        <f>$F23</f>
        <v>0</v>
      </c>
      <c r="I23">
        <f>$F23</f>
        <v>0</v>
      </c>
      <c r="J23">
        <f>$F23</f>
        <v>0</v>
      </c>
      <c r="K23">
        <v>1</v>
      </c>
      <c r="L23">
        <v>60</v>
      </c>
      <c r="M23">
        <v>0</v>
      </c>
      <c r="N23">
        <v>0</v>
      </c>
      <c r="O23">
        <v>1</v>
      </c>
      <c r="P23">
        <v>450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60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20</v>
      </c>
      <c r="BA23">
        <v>0</v>
      </c>
      <c r="BB23">
        <v>0</v>
      </c>
      <c r="BC23">
        <v>0</v>
      </c>
      <c r="BD23">
        <v>0</v>
      </c>
      <c r="BE23">
        <v>0</v>
      </c>
      <c r="BJ23">
        <f>IF(OR(F54&gt;Config!$D$24,F54&lt;Config!$C$23,BL23=0,BP54&gt;Config!$D$24,BP54&lt;Config!$C$23),"ERR","OK")</f>
        <v>0</v>
      </c>
      <c r="BK23">
        <f>IF(OR(L23&gt;100,L23&lt;7,BL23=0),"ERR","OK")</f>
        <v>0</v>
      </c>
      <c r="BL23">
        <f>IF(SUM(F23:BD23)=0,0,1)</f>
        <v>0</v>
      </c>
      <c r="BM23">
        <f>IF(AND(BP23&lt;0,L23&lt;=80),80,L23)</f>
        <v>0</v>
      </c>
      <c r="BN23">
        <f>MIN(F23:F34,H23:H34,I23:I34,J23:J34,AZ23:AZ34)</f>
        <v>0</v>
      </c>
      <c r="BO23">
        <f>MAX(F23:F34,H23:H34,I23:I34,J23:J34,AZ23:AZ34)</f>
        <v>0</v>
      </c>
      <c r="BP23">
        <f>IF(AJ23,BP22,F54)</f>
        <v>0</v>
      </c>
    </row>
    <row r="24" spans="1:68">
      <c r="A24">
        <f>A23+1</f>
        <v>0</v>
      </c>
      <c r="B24">
        <f>MOD(INT(C24/60),60)</f>
        <v>0</v>
      </c>
      <c r="C24">
        <f>C23+300</f>
        <v>0</v>
      </c>
      <c r="D24">
        <f>INT(C24/3600)</f>
        <v>0</v>
      </c>
      <c r="E24">
        <f>INT(D24/24)+1</f>
        <v>0</v>
      </c>
      <c r="F24">
        <v>22</v>
      </c>
      <c r="G24">
        <v>0</v>
      </c>
      <c r="H24">
        <f>$F24</f>
        <v>0</v>
      </c>
      <c r="I24">
        <f>$F24</f>
        <v>0</v>
      </c>
      <c r="J24">
        <f>$F24</f>
        <v>0</v>
      </c>
      <c r="K24">
        <v>1</v>
      </c>
      <c r="L24">
        <v>60</v>
      </c>
      <c r="M24">
        <v>0</v>
      </c>
      <c r="N24">
        <v>0</v>
      </c>
      <c r="O24">
        <v>1</v>
      </c>
      <c r="P24">
        <v>450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60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20</v>
      </c>
      <c r="BA24">
        <v>0</v>
      </c>
      <c r="BB24">
        <v>0</v>
      </c>
      <c r="BC24">
        <v>0</v>
      </c>
      <c r="BD24">
        <v>0</v>
      </c>
      <c r="BE24">
        <v>0</v>
      </c>
      <c r="BJ24">
        <f>IF(OR(F55&gt;Config!$D$24,F55&lt;Config!$C$23,BL24=0,BP55&gt;Config!$D$24,BP55&lt;Config!$C$23),"ERR","OK")</f>
        <v>0</v>
      </c>
      <c r="BK24">
        <f>IF(OR(L24&gt;100,L24&lt;7,BL24=0),"ERR","OK")</f>
        <v>0</v>
      </c>
      <c r="BL24">
        <f>IF(SUM(F24:BD24)=0,0,1)</f>
        <v>0</v>
      </c>
      <c r="BM24">
        <f>IF(AND(BP24&lt;0,L24&lt;=80),80,L24)</f>
        <v>0</v>
      </c>
      <c r="BN24">
        <f>MIN(F24:F35,H24:H35,I24:I35,J24:J35,AZ24:AZ35)</f>
        <v>0</v>
      </c>
      <c r="BO24">
        <f>MAX(F24:F35,H24:H35,I24:I35,J24:J35,AZ24:AZ35)</f>
        <v>0</v>
      </c>
      <c r="BP24">
        <f>IF(AJ24,BP23,F55)</f>
        <v>0</v>
      </c>
    </row>
    <row r="25" spans="1:68">
      <c r="A25">
        <f>A24+1</f>
        <v>0</v>
      </c>
      <c r="B25">
        <f>MOD(INT(C25/60),60)</f>
        <v>0</v>
      </c>
      <c r="C25">
        <f>C24+300</f>
        <v>0</v>
      </c>
      <c r="D25">
        <f>INT(C25/3600)</f>
        <v>0</v>
      </c>
      <c r="E25">
        <f>INT(D25/24)+1</f>
        <v>0</v>
      </c>
      <c r="F25">
        <v>22</v>
      </c>
      <c r="G25">
        <v>0</v>
      </c>
      <c r="H25">
        <f>$F25</f>
        <v>0</v>
      </c>
      <c r="I25">
        <f>$F25</f>
        <v>0</v>
      </c>
      <c r="J25">
        <f>$F25</f>
        <v>0</v>
      </c>
      <c r="K25">
        <v>1</v>
      </c>
      <c r="L25">
        <v>60</v>
      </c>
      <c r="M25">
        <v>0</v>
      </c>
      <c r="N25">
        <v>0</v>
      </c>
      <c r="O25">
        <v>1</v>
      </c>
      <c r="P25">
        <v>450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20</v>
      </c>
      <c r="BA25">
        <v>0</v>
      </c>
      <c r="BB25">
        <v>0</v>
      </c>
      <c r="BC25">
        <v>0</v>
      </c>
      <c r="BD25">
        <v>0</v>
      </c>
      <c r="BE25">
        <v>0</v>
      </c>
      <c r="BJ25">
        <f>IF(OR(F56&gt;Config!$D$24,F56&lt;Config!$C$23,BL25=0,BP56&gt;Config!$D$24,BP56&lt;Config!$C$23),"ERR","OK")</f>
        <v>0</v>
      </c>
      <c r="BK25">
        <f>IF(OR(L25&gt;100,L25&lt;7,BL25=0),"ERR","OK")</f>
        <v>0</v>
      </c>
      <c r="BL25">
        <f>IF(SUM(F25:BD25)=0,0,1)</f>
        <v>0</v>
      </c>
      <c r="BM25">
        <f>IF(AND(BP25&lt;0,L25&lt;=80),80,L25)</f>
        <v>0</v>
      </c>
      <c r="BN25">
        <f>MIN(F25:F36,H25:H36,I25:I36,J25:J36,AZ25:AZ36)</f>
        <v>0</v>
      </c>
      <c r="BO25">
        <f>MAX(F25:F36,H25:H36,I25:I36,J25:J36,AZ25:AZ36)</f>
        <v>0</v>
      </c>
      <c r="BP25">
        <f>IF(AJ25,BP24,F56)</f>
        <v>0</v>
      </c>
    </row>
    <row r="26" spans="1:68">
      <c r="A26">
        <f>A25+1</f>
        <v>0</v>
      </c>
      <c r="B26">
        <f>MOD(INT(C26/60),60)</f>
        <v>0</v>
      </c>
      <c r="C26">
        <f>C25+300</f>
        <v>0</v>
      </c>
      <c r="D26">
        <f>INT(C26/3600)</f>
        <v>0</v>
      </c>
      <c r="E26">
        <f>INT(D26/24)+1</f>
        <v>0</v>
      </c>
      <c r="F26">
        <v>22</v>
      </c>
      <c r="G26">
        <v>0</v>
      </c>
      <c r="H26">
        <f>$F26</f>
        <v>0</v>
      </c>
      <c r="I26">
        <f>$F26</f>
        <v>0</v>
      </c>
      <c r="J26">
        <f>$F26</f>
        <v>0</v>
      </c>
      <c r="K26">
        <v>1</v>
      </c>
      <c r="L26">
        <v>60</v>
      </c>
      <c r="M26">
        <v>0</v>
      </c>
      <c r="N26">
        <v>0</v>
      </c>
      <c r="O26">
        <v>1</v>
      </c>
      <c r="P26">
        <v>450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60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20</v>
      </c>
      <c r="BA26">
        <v>0</v>
      </c>
      <c r="BB26">
        <v>0</v>
      </c>
      <c r="BC26">
        <v>0</v>
      </c>
      <c r="BD26">
        <v>0</v>
      </c>
      <c r="BE26">
        <v>0</v>
      </c>
      <c r="BJ26">
        <f>IF(OR(F57&gt;Config!$D$24,F57&lt;Config!$C$23,BL26=0,BP57&gt;Config!$D$24,BP57&lt;Config!$C$23),"ERR","OK")</f>
        <v>0</v>
      </c>
      <c r="BK26">
        <f>IF(OR(L26&gt;100,L26&lt;7,BL26=0),"ERR","OK")</f>
        <v>0</v>
      </c>
      <c r="BL26">
        <f>IF(SUM(F26:BD26)=0,0,1)</f>
        <v>0</v>
      </c>
      <c r="BM26">
        <f>IF(AND(BP26&lt;0,L26&lt;=80),80,L26)</f>
        <v>0</v>
      </c>
      <c r="BN26">
        <f>MIN(F26:F37,H26:H37,I26:I37,J26:J37,AZ26:AZ37)</f>
        <v>0</v>
      </c>
      <c r="BO26">
        <f>MAX(F26:F37,H26:H37,I26:I37,J26:J37,AZ26:AZ37)</f>
        <v>0</v>
      </c>
      <c r="BP26">
        <f>IF(AJ26,BP25,F57)</f>
        <v>0</v>
      </c>
    </row>
    <row r="27" spans="1:68">
      <c r="A27">
        <f>A26+1</f>
        <v>0</v>
      </c>
      <c r="B27">
        <f>MOD(INT(C27/60),60)</f>
        <v>0</v>
      </c>
      <c r="C27">
        <f>C26+300</f>
        <v>0</v>
      </c>
      <c r="D27">
        <f>INT(C27/3600)</f>
        <v>0</v>
      </c>
      <c r="E27">
        <f>INT(D27/24)+1</f>
        <v>0</v>
      </c>
      <c r="F27">
        <v>22</v>
      </c>
      <c r="G27">
        <v>0</v>
      </c>
      <c r="H27">
        <f>$F27</f>
        <v>0</v>
      </c>
      <c r="I27">
        <f>$F27</f>
        <v>0</v>
      </c>
      <c r="J27">
        <f>$F27</f>
        <v>0</v>
      </c>
      <c r="K27">
        <v>1</v>
      </c>
      <c r="L27">
        <v>60</v>
      </c>
      <c r="M27">
        <v>0</v>
      </c>
      <c r="N27">
        <v>0</v>
      </c>
      <c r="O27">
        <v>1</v>
      </c>
      <c r="P27">
        <v>450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60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20</v>
      </c>
      <c r="BA27">
        <v>0</v>
      </c>
      <c r="BB27">
        <v>0</v>
      </c>
      <c r="BC27">
        <v>0</v>
      </c>
      <c r="BD27">
        <v>0</v>
      </c>
      <c r="BE27">
        <v>0</v>
      </c>
      <c r="BJ27">
        <f>IF(OR(F58&gt;Config!$D$24,F58&lt;Config!$C$23,BL27=0,BP58&gt;Config!$D$24,BP58&lt;Config!$C$23),"ERR","OK")</f>
        <v>0</v>
      </c>
      <c r="BK27">
        <f>IF(OR(L27&gt;100,L27&lt;7,BL27=0),"ERR","OK")</f>
        <v>0</v>
      </c>
      <c r="BL27">
        <f>IF(SUM(F27:BD27)=0,0,1)</f>
        <v>0</v>
      </c>
      <c r="BM27">
        <f>IF(AND(BP27&lt;0,L27&lt;=80),80,L27)</f>
        <v>0</v>
      </c>
      <c r="BN27">
        <f>MIN(F27:F38,H27:H38,I27:I38,J27:J38,AZ27:AZ38)</f>
        <v>0</v>
      </c>
      <c r="BO27">
        <f>MAX(F27:F38,H27:H38,I27:I38,J27:J38,AZ27:AZ38)</f>
        <v>0</v>
      </c>
      <c r="BP27">
        <f>IF(AJ27,BP26,F58)</f>
        <v>0</v>
      </c>
    </row>
    <row r="28" spans="1:68">
      <c r="A28">
        <f>A27+1</f>
        <v>0</v>
      </c>
      <c r="B28">
        <f>MOD(INT(C28/60),60)</f>
        <v>0</v>
      </c>
      <c r="C28">
        <f>C27+300</f>
        <v>0</v>
      </c>
      <c r="D28">
        <f>INT(C28/3600)</f>
        <v>0</v>
      </c>
      <c r="E28">
        <f>INT(D28/24)+1</f>
        <v>0</v>
      </c>
      <c r="F28">
        <v>22</v>
      </c>
      <c r="G28">
        <v>0</v>
      </c>
      <c r="H28">
        <f>$F28</f>
        <v>0</v>
      </c>
      <c r="I28">
        <f>$F28</f>
        <v>0</v>
      </c>
      <c r="J28">
        <f>$F28</f>
        <v>0</v>
      </c>
      <c r="K28">
        <v>1</v>
      </c>
      <c r="L28">
        <v>60</v>
      </c>
      <c r="M28">
        <v>0</v>
      </c>
      <c r="N28">
        <v>0</v>
      </c>
      <c r="O28">
        <v>1</v>
      </c>
      <c r="P28">
        <v>450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60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20</v>
      </c>
      <c r="BA28">
        <v>0</v>
      </c>
      <c r="BB28">
        <v>0</v>
      </c>
      <c r="BC28">
        <v>0</v>
      </c>
      <c r="BD28">
        <v>0</v>
      </c>
      <c r="BE28">
        <v>0</v>
      </c>
      <c r="BJ28">
        <f>IF(OR(F59&gt;Config!$D$24,F59&lt;Config!$C$23,BL28=0,BP59&gt;Config!$D$24,BP59&lt;Config!$C$23),"ERR","OK")</f>
        <v>0</v>
      </c>
      <c r="BK28">
        <f>IF(OR(L28&gt;100,L28&lt;7,BL28=0),"ERR","OK")</f>
        <v>0</v>
      </c>
      <c r="BL28">
        <f>IF(SUM(F28:BD28)=0,0,1)</f>
        <v>0</v>
      </c>
      <c r="BM28">
        <f>IF(AND(BP28&lt;0,L28&lt;=80),80,L28)</f>
        <v>0</v>
      </c>
      <c r="BN28">
        <f>MIN(F28:F39,H28:H39,I28:I39,J28:J39,AZ28:AZ39)</f>
        <v>0</v>
      </c>
      <c r="BO28">
        <f>MAX(F28:F39,H28:H39,I28:I39,J28:J39,AZ28:AZ39)</f>
        <v>0</v>
      </c>
      <c r="BP28">
        <f>IF(AJ28,BP27,F59)</f>
        <v>0</v>
      </c>
    </row>
    <row r="29" spans="1:68">
      <c r="A29">
        <f>A28+1</f>
        <v>0</v>
      </c>
      <c r="B29">
        <f>MOD(INT(C29/60),60)</f>
        <v>0</v>
      </c>
      <c r="C29">
        <f>C28+300</f>
        <v>0</v>
      </c>
      <c r="D29">
        <f>INT(C29/3600)</f>
        <v>0</v>
      </c>
      <c r="E29">
        <f>INT(D29/24)+1</f>
        <v>0</v>
      </c>
      <c r="F29">
        <v>22</v>
      </c>
      <c r="G29">
        <v>0</v>
      </c>
      <c r="H29">
        <f>$F29</f>
        <v>0</v>
      </c>
      <c r="I29">
        <f>$F29</f>
        <v>0</v>
      </c>
      <c r="J29">
        <f>$F29</f>
        <v>0</v>
      </c>
      <c r="K29">
        <v>1</v>
      </c>
      <c r="L29">
        <v>60</v>
      </c>
      <c r="M29">
        <v>0</v>
      </c>
      <c r="N29">
        <v>0</v>
      </c>
      <c r="O29">
        <v>1</v>
      </c>
      <c r="P29">
        <v>450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60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20</v>
      </c>
      <c r="BA29">
        <v>0</v>
      </c>
      <c r="BB29">
        <v>0</v>
      </c>
      <c r="BC29">
        <v>0</v>
      </c>
      <c r="BD29">
        <v>0</v>
      </c>
      <c r="BE29">
        <v>0</v>
      </c>
      <c r="BJ29">
        <f>IF(OR(F60&gt;Config!$D$24,F60&lt;Config!$C$23,BL29=0,BP60&gt;Config!$D$24,BP60&lt;Config!$C$23),"ERR","OK")</f>
        <v>0</v>
      </c>
      <c r="BK29">
        <f>IF(OR(L29&gt;100,L29&lt;7,BL29=0),"ERR","OK")</f>
        <v>0</v>
      </c>
      <c r="BL29">
        <f>IF(SUM(F29:BD29)=0,0,1)</f>
        <v>0</v>
      </c>
      <c r="BM29">
        <f>IF(AND(BP29&lt;0,L29&lt;=80),80,L29)</f>
        <v>0</v>
      </c>
      <c r="BN29">
        <f>MIN(F29:F40,H29:H40,I29:I40,J29:J40,AZ29:AZ40)</f>
        <v>0</v>
      </c>
      <c r="BO29">
        <f>MAX(F29:F40,H29:H40,I29:I40,J29:J40,AZ29:AZ40)</f>
        <v>0</v>
      </c>
      <c r="BP29">
        <f>IF(AJ29,BP28,F60)</f>
        <v>0</v>
      </c>
    </row>
    <row r="30" spans="1:68">
      <c r="A30">
        <f>A29+1</f>
        <v>0</v>
      </c>
      <c r="B30">
        <f>MOD(INT(C30/60),60)</f>
        <v>0</v>
      </c>
      <c r="C30">
        <f>C29+300</f>
        <v>0</v>
      </c>
      <c r="D30">
        <f>INT(C30/3600)</f>
        <v>0</v>
      </c>
      <c r="E30">
        <f>INT(D30/24)+1</f>
        <v>0</v>
      </c>
      <c r="F30">
        <v>22</v>
      </c>
      <c r="G30">
        <v>0</v>
      </c>
      <c r="H30">
        <f>$F30</f>
        <v>0</v>
      </c>
      <c r="I30">
        <f>$F30</f>
        <v>0</v>
      </c>
      <c r="J30">
        <f>$F30</f>
        <v>0</v>
      </c>
      <c r="K30">
        <v>1</v>
      </c>
      <c r="L30">
        <v>60</v>
      </c>
      <c r="M30">
        <v>0</v>
      </c>
      <c r="N30">
        <v>0</v>
      </c>
      <c r="O30">
        <v>1</v>
      </c>
      <c r="P30">
        <v>450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60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20</v>
      </c>
      <c r="BA30">
        <v>0</v>
      </c>
      <c r="BB30">
        <v>0</v>
      </c>
      <c r="BC30">
        <v>0</v>
      </c>
      <c r="BD30">
        <v>0</v>
      </c>
      <c r="BE30">
        <v>0</v>
      </c>
      <c r="BJ30">
        <f>IF(OR(F61&gt;Config!$D$24,F61&lt;Config!$C$23,BL30=0,BP61&gt;Config!$D$24,BP61&lt;Config!$C$23),"ERR","OK")</f>
        <v>0</v>
      </c>
      <c r="BK30">
        <f>IF(OR(L30&gt;100,L30&lt;7,BL30=0),"ERR","OK")</f>
        <v>0</v>
      </c>
      <c r="BL30">
        <f>IF(SUM(F30:BD30)=0,0,1)</f>
        <v>0</v>
      </c>
      <c r="BM30">
        <f>IF(AND(BP30&lt;0,L30&lt;=80),80,L30)</f>
        <v>0</v>
      </c>
      <c r="BN30">
        <f>MIN(F30:F41,H30:H41,I30:I41,J30:J41,AZ30:AZ41)</f>
        <v>0</v>
      </c>
      <c r="BO30">
        <f>MAX(F30:F41,H30:H41,I30:I41,J30:J41,AZ30:AZ41)</f>
        <v>0</v>
      </c>
      <c r="BP30">
        <f>IF(AJ30,BP29,F61)</f>
        <v>0</v>
      </c>
    </row>
    <row r="31" spans="1:68">
      <c r="A31">
        <f>A30+1</f>
        <v>0</v>
      </c>
      <c r="B31">
        <f>MOD(INT(C31/60),60)</f>
        <v>0</v>
      </c>
      <c r="C31">
        <f>C30+300</f>
        <v>0</v>
      </c>
      <c r="D31">
        <f>INT(C31/3600)</f>
        <v>0</v>
      </c>
      <c r="E31">
        <f>INT(D31/24)+1</f>
        <v>0</v>
      </c>
      <c r="F31">
        <v>22</v>
      </c>
      <c r="G31">
        <v>0</v>
      </c>
      <c r="H31">
        <f>$F31</f>
        <v>0</v>
      </c>
      <c r="I31">
        <f>$F31</f>
        <v>0</v>
      </c>
      <c r="J31">
        <f>$F31</f>
        <v>0</v>
      </c>
      <c r="K31">
        <v>1</v>
      </c>
      <c r="L31">
        <v>60</v>
      </c>
      <c r="M31">
        <v>0</v>
      </c>
      <c r="N31">
        <v>0</v>
      </c>
      <c r="O31">
        <v>1</v>
      </c>
      <c r="P31">
        <v>450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60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20</v>
      </c>
      <c r="BA31">
        <v>0</v>
      </c>
      <c r="BB31">
        <v>0</v>
      </c>
      <c r="BC31">
        <v>0</v>
      </c>
      <c r="BD31">
        <v>0</v>
      </c>
      <c r="BE31">
        <v>0</v>
      </c>
      <c r="BJ31">
        <f>IF(OR(F62&gt;Config!$D$24,F62&lt;Config!$C$23,BL31=0,BP62&gt;Config!$D$24,BP62&lt;Config!$C$23),"ERR","OK")</f>
        <v>0</v>
      </c>
      <c r="BK31">
        <f>IF(OR(L31&gt;100,L31&lt;7,BL31=0),"ERR","OK")</f>
        <v>0</v>
      </c>
      <c r="BL31">
        <f>IF(SUM(F31:BD31)=0,0,1)</f>
        <v>0</v>
      </c>
      <c r="BM31">
        <f>IF(AND(BP31&lt;0,L31&lt;=80),80,L31)</f>
        <v>0</v>
      </c>
      <c r="BN31">
        <f>MIN(F31:F42,H31:H42,I31:I42,J31:J42,AZ31:AZ42)</f>
        <v>0</v>
      </c>
      <c r="BO31">
        <f>MAX(F31:F42,H31:H42,I31:I42,J31:J42,AZ31:AZ42)</f>
        <v>0</v>
      </c>
      <c r="BP31">
        <f>IF(AJ31,BP30,F62)</f>
        <v>0</v>
      </c>
    </row>
    <row r="32" spans="1:68">
      <c r="A32">
        <f>A31+1</f>
        <v>0</v>
      </c>
      <c r="B32">
        <f>MOD(INT(C32/60),60)</f>
        <v>0</v>
      </c>
      <c r="C32">
        <f>C31+300</f>
        <v>0</v>
      </c>
      <c r="D32">
        <f>INT(C32/3600)</f>
        <v>0</v>
      </c>
      <c r="E32">
        <f>INT(D32/24)+1</f>
        <v>0</v>
      </c>
      <c r="F32">
        <v>22</v>
      </c>
      <c r="G32">
        <v>0</v>
      </c>
      <c r="H32">
        <f>$F32</f>
        <v>0</v>
      </c>
      <c r="I32">
        <f>$F32</f>
        <v>0</v>
      </c>
      <c r="J32">
        <f>$F32</f>
        <v>0</v>
      </c>
      <c r="K32">
        <v>1</v>
      </c>
      <c r="L32">
        <v>60</v>
      </c>
      <c r="M32">
        <v>0</v>
      </c>
      <c r="N32">
        <v>0</v>
      </c>
      <c r="O32">
        <v>1</v>
      </c>
      <c r="P32">
        <v>450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60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20</v>
      </c>
      <c r="BA32">
        <v>0</v>
      </c>
      <c r="BB32">
        <v>0</v>
      </c>
      <c r="BC32">
        <v>0</v>
      </c>
      <c r="BD32">
        <v>0</v>
      </c>
      <c r="BE32">
        <v>0</v>
      </c>
      <c r="BJ32">
        <f>IF(OR(F63&gt;Config!$D$24,F63&lt;Config!$C$23,BL32=0,BP63&gt;Config!$D$24,BP63&lt;Config!$C$23),"ERR","OK")</f>
        <v>0</v>
      </c>
      <c r="BK32">
        <f>IF(OR(L32&gt;100,L32&lt;7,BL32=0),"ERR","OK")</f>
        <v>0</v>
      </c>
      <c r="BL32">
        <f>IF(SUM(F32:BD32)=0,0,1)</f>
        <v>0</v>
      </c>
      <c r="BM32">
        <f>IF(AND(BP32&lt;0,L32&lt;=80),80,L32)</f>
        <v>0</v>
      </c>
      <c r="BN32">
        <f>MIN(F32:F43,H32:H43,I32:I43,J32:J43,AZ32:AZ43)</f>
        <v>0</v>
      </c>
      <c r="BO32">
        <f>MAX(F32:F43,H32:H43,I32:I43,J32:J43,AZ32:AZ43)</f>
        <v>0</v>
      </c>
      <c r="BP32">
        <f>IF(AJ32,BP31,F63)</f>
        <v>0</v>
      </c>
    </row>
    <row r="33" spans="1:68">
      <c r="A33">
        <f>A32+1</f>
        <v>0</v>
      </c>
      <c r="B33">
        <f>MOD(INT(C33/60),60)</f>
        <v>0</v>
      </c>
      <c r="C33">
        <f>C32+300</f>
        <v>0</v>
      </c>
      <c r="D33">
        <f>INT(C33/3600)</f>
        <v>0</v>
      </c>
      <c r="E33">
        <f>INT(D33/24)+1</f>
        <v>0</v>
      </c>
      <c r="F33">
        <v>22</v>
      </c>
      <c r="G33">
        <v>0</v>
      </c>
      <c r="H33">
        <f>$F33</f>
        <v>0</v>
      </c>
      <c r="I33">
        <f>$F33</f>
        <v>0</v>
      </c>
      <c r="J33">
        <f>$F33</f>
        <v>0</v>
      </c>
      <c r="K33">
        <v>1</v>
      </c>
      <c r="L33">
        <v>60</v>
      </c>
      <c r="M33">
        <v>0</v>
      </c>
      <c r="N33">
        <v>0</v>
      </c>
      <c r="O33">
        <v>1</v>
      </c>
      <c r="P33">
        <v>450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60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20</v>
      </c>
      <c r="BA33">
        <v>0</v>
      </c>
      <c r="BB33">
        <v>0</v>
      </c>
      <c r="BC33">
        <v>0</v>
      </c>
      <c r="BD33">
        <v>0</v>
      </c>
      <c r="BE33">
        <v>0</v>
      </c>
      <c r="BJ33">
        <f>IF(OR(F64&gt;Config!$D$24,F64&lt;Config!$C$23,BL33=0,BP64&gt;Config!$D$24,BP64&lt;Config!$C$23),"ERR","OK")</f>
        <v>0</v>
      </c>
      <c r="BK33">
        <f>IF(OR(L33&gt;100,L33&lt;7,BL33=0),"ERR","OK")</f>
        <v>0</v>
      </c>
      <c r="BL33">
        <f>IF(SUM(F33:BD33)=0,0,1)</f>
        <v>0</v>
      </c>
      <c r="BM33">
        <f>IF(AND(BP33&lt;0,L33&lt;=80),80,L33)</f>
        <v>0</v>
      </c>
      <c r="BN33">
        <f>MIN(F33:F44,H33:H44,I33:I44,J33:J44,AZ33:AZ44)</f>
        <v>0</v>
      </c>
      <c r="BO33">
        <f>MAX(F33:F44,H33:H44,I33:I44,J33:J44,AZ33:AZ44)</f>
        <v>0</v>
      </c>
      <c r="BP33">
        <f>IF(AJ33,BP32,F64)</f>
        <v>0</v>
      </c>
    </row>
    <row r="34" spans="1:68">
      <c r="A34">
        <f>A33+1</f>
        <v>0</v>
      </c>
      <c r="B34">
        <f>MOD(INT(C34/60),60)</f>
        <v>0</v>
      </c>
      <c r="C34">
        <f>C33+300</f>
        <v>0</v>
      </c>
      <c r="D34">
        <f>INT(C34/3600)</f>
        <v>0</v>
      </c>
      <c r="E34">
        <f>INT(D34/24)+1</f>
        <v>0</v>
      </c>
      <c r="F34">
        <v>22</v>
      </c>
      <c r="G34">
        <v>0</v>
      </c>
      <c r="H34">
        <f>$F34</f>
        <v>0</v>
      </c>
      <c r="I34">
        <f>$F34</f>
        <v>0</v>
      </c>
      <c r="J34">
        <f>$F34</f>
        <v>0</v>
      </c>
      <c r="K34">
        <v>1</v>
      </c>
      <c r="L34">
        <v>60</v>
      </c>
      <c r="M34">
        <v>0</v>
      </c>
      <c r="N34">
        <v>0</v>
      </c>
      <c r="O34">
        <v>1</v>
      </c>
      <c r="P34">
        <v>450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60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20</v>
      </c>
      <c r="BA34">
        <v>0</v>
      </c>
      <c r="BB34">
        <v>0</v>
      </c>
      <c r="BC34">
        <v>0</v>
      </c>
      <c r="BD34">
        <v>0</v>
      </c>
      <c r="BE34">
        <v>0</v>
      </c>
      <c r="BJ34">
        <f>IF(OR(F65&gt;Config!$D$24,F65&lt;Config!$C$23,BL34=0,BP65&gt;Config!$D$24,BP65&lt;Config!$C$23),"ERR","OK")</f>
        <v>0</v>
      </c>
      <c r="BK34">
        <f>IF(OR(L34&gt;100,L34&lt;7,BL34=0),"ERR","OK")</f>
        <v>0</v>
      </c>
      <c r="BL34">
        <f>IF(SUM(F34:BD34)=0,0,1)</f>
        <v>0</v>
      </c>
      <c r="BM34">
        <f>IF(AND(BP34&lt;0,L34&lt;=80),80,L34)</f>
        <v>0</v>
      </c>
      <c r="BN34">
        <f>MIN(F34:F45,H34:H45,I34:I45,J34:J45,AZ34:AZ45)</f>
        <v>0</v>
      </c>
      <c r="BO34">
        <f>MAX(F34:F45,H34:H45,I34:I45,J34:J45,AZ34:AZ45)</f>
        <v>0</v>
      </c>
      <c r="BP34">
        <f>IF(AJ34,BP33,F65)</f>
        <v>0</v>
      </c>
    </row>
    <row r="35" spans="1:68">
      <c r="A35">
        <f>A34+1</f>
        <v>0</v>
      </c>
      <c r="B35">
        <f>MOD(INT(C35/60),60)</f>
        <v>0</v>
      </c>
      <c r="C35">
        <f>C34+300</f>
        <v>0</v>
      </c>
      <c r="D35">
        <f>INT(C35/3600)</f>
        <v>0</v>
      </c>
      <c r="E35">
        <f>INT(D35/24)+1</f>
        <v>0</v>
      </c>
      <c r="F35">
        <v>22</v>
      </c>
      <c r="G35">
        <v>0</v>
      </c>
      <c r="H35">
        <f>$F35</f>
        <v>0</v>
      </c>
      <c r="I35">
        <f>$F35</f>
        <v>0</v>
      </c>
      <c r="J35">
        <f>$F35</f>
        <v>0</v>
      </c>
      <c r="K35">
        <v>1</v>
      </c>
      <c r="L35">
        <v>60</v>
      </c>
      <c r="M35">
        <v>0</v>
      </c>
      <c r="N35">
        <v>0</v>
      </c>
      <c r="O35">
        <v>1</v>
      </c>
      <c r="P35">
        <v>450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60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20</v>
      </c>
      <c r="BA35">
        <v>0</v>
      </c>
      <c r="BB35">
        <v>0</v>
      </c>
      <c r="BC35">
        <v>0</v>
      </c>
      <c r="BD35">
        <v>0</v>
      </c>
      <c r="BE35">
        <v>0</v>
      </c>
      <c r="BJ35">
        <f>IF(OR(F66&gt;Config!$D$24,F66&lt;Config!$C$23,BL35=0,BP66&gt;Config!$D$24,BP66&lt;Config!$C$23),"ERR","OK")</f>
        <v>0</v>
      </c>
      <c r="BK35">
        <f>IF(OR(L35&gt;100,L35&lt;7,BL35=0),"ERR","OK")</f>
        <v>0</v>
      </c>
      <c r="BL35">
        <f>IF(SUM(F35:BD35)=0,0,1)</f>
        <v>0</v>
      </c>
      <c r="BM35">
        <f>IF(AND(BP35&lt;0,L35&lt;=80),80,L35)</f>
        <v>0</v>
      </c>
      <c r="BN35">
        <f>MIN(F35:F46,H35:H46,I35:I46,J35:J46,AZ35:AZ46)</f>
        <v>0</v>
      </c>
      <c r="BO35">
        <f>MAX(F35:F46,H35:H46,I35:I46,J35:J46,AZ35:AZ46)</f>
        <v>0</v>
      </c>
      <c r="BP35">
        <f>IF(AJ35,BP34,F66)</f>
        <v>0</v>
      </c>
    </row>
    <row r="36" spans="1:68">
      <c r="A36">
        <f>A35+1</f>
        <v>0</v>
      </c>
      <c r="B36">
        <f>MOD(INT(C36/60),60)</f>
        <v>0</v>
      </c>
      <c r="C36">
        <f>C35+300</f>
        <v>0</v>
      </c>
      <c r="D36">
        <f>INT(C36/3600)</f>
        <v>0</v>
      </c>
      <c r="E36">
        <f>INT(D36/24)+1</f>
        <v>0</v>
      </c>
      <c r="F36">
        <v>22</v>
      </c>
      <c r="G36">
        <v>0</v>
      </c>
      <c r="H36">
        <f>$F36</f>
        <v>0</v>
      </c>
      <c r="I36">
        <f>$F36</f>
        <v>0</v>
      </c>
      <c r="J36">
        <f>$F36</f>
        <v>0</v>
      </c>
      <c r="K36">
        <v>1</v>
      </c>
      <c r="L36">
        <v>60</v>
      </c>
      <c r="M36">
        <v>0</v>
      </c>
      <c r="N36">
        <v>0</v>
      </c>
      <c r="O36">
        <v>1</v>
      </c>
      <c r="P36">
        <v>450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60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20</v>
      </c>
      <c r="BA36">
        <v>0</v>
      </c>
      <c r="BB36">
        <v>0</v>
      </c>
      <c r="BC36">
        <v>0</v>
      </c>
      <c r="BD36">
        <v>0</v>
      </c>
      <c r="BE36">
        <v>0</v>
      </c>
      <c r="BJ36">
        <f>IF(OR(F67&gt;Config!$D$24,F67&lt;Config!$C$23,BL36=0,BP67&gt;Config!$D$24,BP67&lt;Config!$C$23),"ERR","OK")</f>
        <v>0</v>
      </c>
      <c r="BK36">
        <f>IF(OR(L36&gt;100,L36&lt;7,BL36=0),"ERR","OK")</f>
        <v>0</v>
      </c>
      <c r="BL36">
        <f>IF(SUM(F36:BD36)=0,0,1)</f>
        <v>0</v>
      </c>
      <c r="BM36">
        <f>IF(AND(BP36&lt;0,L36&lt;=80),80,L36)</f>
        <v>0</v>
      </c>
      <c r="BN36">
        <f>MIN(F36:F47,H36:H47,I36:I47,J36:J47,AZ36:AZ47)</f>
        <v>0</v>
      </c>
      <c r="BO36">
        <f>MAX(F36:F47,H36:H47,I36:I47,J36:J47,AZ36:AZ47)</f>
        <v>0</v>
      </c>
      <c r="BP36">
        <f>IF(AJ36,BP35,F67)</f>
        <v>0</v>
      </c>
    </row>
    <row r="37" spans="1:68">
      <c r="A37">
        <f>A36+1</f>
        <v>0</v>
      </c>
      <c r="B37">
        <f>MOD(INT(C37/60),60)</f>
        <v>0</v>
      </c>
      <c r="C37">
        <f>C36+300</f>
        <v>0</v>
      </c>
      <c r="D37">
        <f>INT(C37/3600)</f>
        <v>0</v>
      </c>
      <c r="E37">
        <f>INT(D37/24)+1</f>
        <v>0</v>
      </c>
      <c r="F37">
        <v>22</v>
      </c>
      <c r="G37">
        <v>0</v>
      </c>
      <c r="H37">
        <f>$F37</f>
        <v>0</v>
      </c>
      <c r="I37">
        <f>$F37</f>
        <v>0</v>
      </c>
      <c r="J37">
        <f>$F37</f>
        <v>0</v>
      </c>
      <c r="K37">
        <v>1</v>
      </c>
      <c r="L37">
        <v>60</v>
      </c>
      <c r="M37">
        <v>0</v>
      </c>
      <c r="N37">
        <v>0</v>
      </c>
      <c r="O37">
        <v>1</v>
      </c>
      <c r="P37">
        <v>450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60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20</v>
      </c>
      <c r="BA37">
        <v>0</v>
      </c>
      <c r="BB37">
        <v>0</v>
      </c>
      <c r="BC37">
        <v>0</v>
      </c>
      <c r="BD37">
        <v>0</v>
      </c>
      <c r="BE37">
        <v>0</v>
      </c>
      <c r="BJ37">
        <f>IF(OR(F68&gt;Config!$D$24,F68&lt;Config!$C$23,BL37=0,BP68&gt;Config!$D$24,BP68&lt;Config!$C$23),"ERR","OK")</f>
        <v>0</v>
      </c>
      <c r="BK37">
        <f>IF(OR(L37&gt;100,L37&lt;7,BL37=0),"ERR","OK")</f>
        <v>0</v>
      </c>
      <c r="BL37">
        <f>IF(SUM(F37:BD37)=0,0,1)</f>
        <v>0</v>
      </c>
      <c r="BM37">
        <f>IF(AND(BP37&lt;0,L37&lt;=80),80,L37)</f>
        <v>0</v>
      </c>
      <c r="BN37">
        <f>MIN(F37:F48,H37:H48,I37:I48,J37:J48,AZ37:AZ48)</f>
        <v>0</v>
      </c>
      <c r="BO37">
        <f>MAX(F37:F48,H37:H48,I37:I48,J37:J48,AZ37:AZ48)</f>
        <v>0</v>
      </c>
      <c r="BP37">
        <f>IF(AJ37,BP36,F68)</f>
        <v>0</v>
      </c>
    </row>
    <row r="38" spans="1:68">
      <c r="A38">
        <f>A37+1</f>
        <v>0</v>
      </c>
      <c r="B38">
        <f>MOD(INT(C38/60),60)</f>
        <v>0</v>
      </c>
      <c r="C38">
        <f>C37+300</f>
        <v>0</v>
      </c>
      <c r="D38">
        <f>INT(C38/3600)</f>
        <v>0</v>
      </c>
      <c r="E38">
        <f>INT(D38/24)+1</f>
        <v>0</v>
      </c>
      <c r="F38">
        <v>22</v>
      </c>
      <c r="G38">
        <v>0</v>
      </c>
      <c r="H38">
        <f>$F38</f>
        <v>0</v>
      </c>
      <c r="I38">
        <f>$F38</f>
        <v>0</v>
      </c>
      <c r="J38">
        <f>$F38</f>
        <v>0</v>
      </c>
      <c r="K38">
        <v>1</v>
      </c>
      <c r="L38">
        <v>60</v>
      </c>
      <c r="M38">
        <v>0</v>
      </c>
      <c r="N38">
        <v>0</v>
      </c>
      <c r="O38">
        <v>1</v>
      </c>
      <c r="P38">
        <v>450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60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20</v>
      </c>
      <c r="BA38">
        <v>0</v>
      </c>
      <c r="BB38">
        <v>0</v>
      </c>
      <c r="BC38">
        <v>0</v>
      </c>
      <c r="BD38">
        <v>0</v>
      </c>
      <c r="BE38">
        <v>0</v>
      </c>
      <c r="BJ38">
        <f>IF(OR(F69&gt;Config!$D$24,F69&lt;Config!$C$23,BL38=0,BP69&gt;Config!$D$24,BP69&lt;Config!$C$23),"ERR","OK")</f>
        <v>0</v>
      </c>
      <c r="BK38">
        <f>IF(OR(L38&gt;100,L38&lt;7,BL38=0),"ERR","OK")</f>
        <v>0</v>
      </c>
      <c r="BL38">
        <f>IF(SUM(F38:BD38)=0,0,1)</f>
        <v>0</v>
      </c>
      <c r="BM38">
        <f>IF(AND(BP38&lt;0,L38&lt;=80),80,L38)</f>
        <v>0</v>
      </c>
      <c r="BN38">
        <f>MIN(F38:F49,H38:H49,I38:I49,J38:J49,AZ38:AZ49)</f>
        <v>0</v>
      </c>
      <c r="BO38">
        <f>MAX(F38:F49,H38:H49,I38:I49,J38:J49,AZ38:AZ49)</f>
        <v>0</v>
      </c>
      <c r="BP38">
        <f>IF(AJ38,BP37,F69)</f>
        <v>0</v>
      </c>
    </row>
    <row r="39" spans="1:68">
      <c r="A39">
        <f>A38+1</f>
        <v>0</v>
      </c>
      <c r="B39">
        <f>MOD(INT(C39/60),60)</f>
        <v>0</v>
      </c>
      <c r="C39">
        <f>C38+300</f>
        <v>0</v>
      </c>
      <c r="D39">
        <f>INT(C39/3600)</f>
        <v>0</v>
      </c>
      <c r="E39">
        <f>INT(D39/24)+1</f>
        <v>0</v>
      </c>
      <c r="F39">
        <v>22</v>
      </c>
      <c r="G39">
        <v>0</v>
      </c>
      <c r="H39">
        <f>$F39</f>
        <v>0</v>
      </c>
      <c r="I39">
        <f>$F39</f>
        <v>0</v>
      </c>
      <c r="J39">
        <f>$F39</f>
        <v>0</v>
      </c>
      <c r="K39">
        <v>1</v>
      </c>
      <c r="L39">
        <v>60</v>
      </c>
      <c r="M39">
        <v>0</v>
      </c>
      <c r="N39">
        <v>0</v>
      </c>
      <c r="O39">
        <v>1</v>
      </c>
      <c r="P39">
        <v>450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60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20</v>
      </c>
      <c r="BA39">
        <v>0</v>
      </c>
      <c r="BB39">
        <v>0</v>
      </c>
      <c r="BC39">
        <v>0</v>
      </c>
      <c r="BD39">
        <v>0</v>
      </c>
      <c r="BE39">
        <v>0</v>
      </c>
      <c r="BJ39">
        <f>IF(OR(F70&gt;Config!$D$24,F70&lt;Config!$C$23,BL39=0,BP70&gt;Config!$D$24,BP70&lt;Config!$C$23),"ERR","OK")</f>
        <v>0</v>
      </c>
      <c r="BK39">
        <f>IF(OR(L39&gt;100,L39&lt;7,BL39=0),"ERR","OK")</f>
        <v>0</v>
      </c>
      <c r="BL39">
        <f>IF(SUM(F39:BD39)=0,0,1)</f>
        <v>0</v>
      </c>
      <c r="BM39">
        <f>IF(AND(BP39&lt;0,L39&lt;=80),80,L39)</f>
        <v>0</v>
      </c>
      <c r="BN39">
        <f>MIN(F39:F50,H39:H50,I39:I50,J39:J50,AZ39:AZ50)</f>
        <v>0</v>
      </c>
      <c r="BO39">
        <f>MAX(F39:F50,H39:H50,I39:I50,J39:J50,AZ39:AZ50)</f>
        <v>0</v>
      </c>
      <c r="BP39">
        <f>IF(AJ39,BP38,F70)</f>
        <v>0</v>
      </c>
    </row>
    <row r="40" spans="1:68">
      <c r="A40">
        <f>A39+1</f>
        <v>0</v>
      </c>
      <c r="B40">
        <f>MOD(INT(C40/60),60)</f>
        <v>0</v>
      </c>
      <c r="C40">
        <f>C39+300</f>
        <v>0</v>
      </c>
      <c r="D40">
        <f>INT(C40/3600)</f>
        <v>0</v>
      </c>
      <c r="E40">
        <f>INT(D40/24)+1</f>
        <v>0</v>
      </c>
      <c r="F40">
        <v>22</v>
      </c>
      <c r="G40">
        <v>0</v>
      </c>
      <c r="H40">
        <f>$F40</f>
        <v>0</v>
      </c>
      <c r="I40">
        <f>$F40</f>
        <v>0</v>
      </c>
      <c r="J40">
        <f>$F40</f>
        <v>0</v>
      </c>
      <c r="K40">
        <v>1</v>
      </c>
      <c r="L40">
        <v>60</v>
      </c>
      <c r="M40">
        <v>0</v>
      </c>
      <c r="N40">
        <v>0</v>
      </c>
      <c r="O40">
        <v>1</v>
      </c>
      <c r="P40">
        <v>450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60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20</v>
      </c>
      <c r="BA40">
        <v>0</v>
      </c>
      <c r="BB40">
        <v>0</v>
      </c>
      <c r="BC40">
        <v>0</v>
      </c>
      <c r="BD40">
        <v>0</v>
      </c>
      <c r="BE40">
        <v>0</v>
      </c>
      <c r="BJ40">
        <f>IF(OR(F71&gt;Config!$D$24,F71&lt;Config!$C$23,BL40=0,BP71&gt;Config!$D$24,BP71&lt;Config!$C$23),"ERR","OK")</f>
        <v>0</v>
      </c>
      <c r="BK40">
        <f>IF(OR(L40&gt;100,L40&lt;7,BL40=0),"ERR","OK")</f>
        <v>0</v>
      </c>
      <c r="BL40">
        <f>IF(SUM(F40:BD40)=0,0,1)</f>
        <v>0</v>
      </c>
      <c r="BM40">
        <f>IF(AND(BP40&lt;0,L40&lt;=80),80,L40)</f>
        <v>0</v>
      </c>
      <c r="BN40">
        <f>MIN(F40:F51,H40:H51,I40:I51,J40:J51,AZ40:AZ51)</f>
        <v>0</v>
      </c>
      <c r="BO40">
        <f>MAX(F40:F51,H40:H51,I40:I51,J40:J51,AZ40:AZ51)</f>
        <v>0</v>
      </c>
      <c r="BP40">
        <f>IF(AJ40,BP39,F71)</f>
        <v>0</v>
      </c>
    </row>
    <row r="41" spans="1:68">
      <c r="A41">
        <f>A40+1</f>
        <v>0</v>
      </c>
      <c r="B41">
        <f>MOD(INT(C41/60),60)</f>
        <v>0</v>
      </c>
      <c r="C41">
        <f>C40+300</f>
        <v>0</v>
      </c>
      <c r="D41">
        <f>INT(C41/3600)</f>
        <v>0</v>
      </c>
      <c r="E41">
        <f>INT(D41/24)+1</f>
        <v>0</v>
      </c>
      <c r="F41">
        <v>22</v>
      </c>
      <c r="G41">
        <v>0</v>
      </c>
      <c r="H41">
        <f>$F41</f>
        <v>0</v>
      </c>
      <c r="I41">
        <f>$F41</f>
        <v>0</v>
      </c>
      <c r="J41">
        <f>$F41</f>
        <v>0</v>
      </c>
      <c r="K41">
        <v>1</v>
      </c>
      <c r="L41">
        <v>60</v>
      </c>
      <c r="M41">
        <v>0</v>
      </c>
      <c r="N41">
        <v>0</v>
      </c>
      <c r="O41">
        <v>1</v>
      </c>
      <c r="P41">
        <v>450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60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20</v>
      </c>
      <c r="BA41">
        <v>0</v>
      </c>
      <c r="BB41">
        <v>0</v>
      </c>
      <c r="BC41">
        <v>0</v>
      </c>
      <c r="BD41">
        <v>0</v>
      </c>
      <c r="BE41">
        <v>0</v>
      </c>
      <c r="BJ41">
        <f>IF(OR(F72&gt;Config!$D$24,F72&lt;Config!$C$23,BL41=0,BP72&gt;Config!$D$24,BP72&lt;Config!$C$23),"ERR","OK")</f>
        <v>0</v>
      </c>
      <c r="BK41">
        <f>IF(OR(L41&gt;100,L41&lt;7,BL41=0),"ERR","OK")</f>
        <v>0</v>
      </c>
      <c r="BL41">
        <f>IF(SUM(F41:BD41)=0,0,1)</f>
        <v>0</v>
      </c>
      <c r="BM41">
        <f>IF(AND(BP41&lt;0,L41&lt;=80),80,L41)</f>
        <v>0</v>
      </c>
      <c r="BN41">
        <f>MIN(F41:F52,H41:H52,I41:I52,J41:J52,AZ41:AZ52)</f>
        <v>0</v>
      </c>
      <c r="BO41">
        <f>MAX(F41:F52,H41:H52,I41:I52,J41:J52,AZ41:AZ52)</f>
        <v>0</v>
      </c>
      <c r="BP41">
        <f>IF(AJ41,BP40,F72)</f>
        <v>0</v>
      </c>
    </row>
    <row r="42" spans="1:68">
      <c r="A42">
        <f>A41+1</f>
        <v>0</v>
      </c>
      <c r="B42">
        <f>MOD(INT(C42/60),60)</f>
        <v>0</v>
      </c>
      <c r="C42">
        <f>C41+300</f>
        <v>0</v>
      </c>
      <c r="D42">
        <f>INT(C42/3600)</f>
        <v>0</v>
      </c>
      <c r="E42">
        <f>INT(D42/24)+1</f>
        <v>0</v>
      </c>
      <c r="F42">
        <v>22</v>
      </c>
      <c r="G42">
        <v>0</v>
      </c>
      <c r="H42">
        <f>$F42</f>
        <v>0</v>
      </c>
      <c r="I42">
        <f>$F42</f>
        <v>0</v>
      </c>
      <c r="J42">
        <f>$F42</f>
        <v>0</v>
      </c>
      <c r="K42">
        <v>1</v>
      </c>
      <c r="L42">
        <v>60</v>
      </c>
      <c r="M42">
        <v>0</v>
      </c>
      <c r="N42">
        <v>0</v>
      </c>
      <c r="O42">
        <v>1</v>
      </c>
      <c r="P42">
        <v>450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60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20</v>
      </c>
      <c r="BA42">
        <v>0</v>
      </c>
      <c r="BB42">
        <v>0</v>
      </c>
      <c r="BC42">
        <v>0</v>
      </c>
      <c r="BD42">
        <v>0</v>
      </c>
      <c r="BE42">
        <v>0</v>
      </c>
      <c r="BJ42">
        <f>IF(OR(F73&gt;Config!$D$24,F73&lt;Config!$C$23,BL42=0,BP73&gt;Config!$D$24,BP73&lt;Config!$C$23),"ERR","OK")</f>
        <v>0</v>
      </c>
      <c r="BK42">
        <f>IF(OR(L42&gt;100,L42&lt;7,BL42=0),"ERR","OK")</f>
        <v>0</v>
      </c>
      <c r="BL42">
        <f>IF(SUM(F42:BD42)=0,0,1)</f>
        <v>0</v>
      </c>
      <c r="BM42">
        <f>IF(AND(BP42&lt;0,L42&lt;=80),80,L42)</f>
        <v>0</v>
      </c>
      <c r="BN42">
        <f>MIN(F42:F53,H42:H53,I42:I53,J42:J53,AZ42:AZ53)</f>
        <v>0</v>
      </c>
      <c r="BO42">
        <f>MAX(F42:F53,H42:H53,I42:I53,J42:J53,AZ42:AZ53)</f>
        <v>0</v>
      </c>
      <c r="BP42">
        <f>IF(AJ42,BP41,F73)</f>
        <v>0</v>
      </c>
    </row>
    <row r="43" spans="1:68">
      <c r="A43">
        <f>A42+1</f>
        <v>0</v>
      </c>
      <c r="B43">
        <f>MOD(INT(C43/60),60)</f>
        <v>0</v>
      </c>
      <c r="C43">
        <f>C42+300</f>
        <v>0</v>
      </c>
      <c r="D43">
        <f>INT(C43/3600)</f>
        <v>0</v>
      </c>
      <c r="E43">
        <f>INT(D43/24)+1</f>
        <v>0</v>
      </c>
      <c r="F43">
        <v>22</v>
      </c>
      <c r="G43">
        <v>0</v>
      </c>
      <c r="H43">
        <f>$F43</f>
        <v>0</v>
      </c>
      <c r="I43">
        <f>$F43</f>
        <v>0</v>
      </c>
      <c r="J43">
        <f>$F43</f>
        <v>0</v>
      </c>
      <c r="K43">
        <v>1</v>
      </c>
      <c r="L43">
        <v>60</v>
      </c>
      <c r="M43">
        <v>0</v>
      </c>
      <c r="N43">
        <v>0</v>
      </c>
      <c r="O43">
        <v>1</v>
      </c>
      <c r="P43">
        <v>450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60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20</v>
      </c>
      <c r="BA43">
        <v>0</v>
      </c>
      <c r="BB43">
        <v>0</v>
      </c>
      <c r="BC43">
        <v>0</v>
      </c>
      <c r="BD43">
        <v>0</v>
      </c>
      <c r="BE43">
        <v>0</v>
      </c>
      <c r="BJ43">
        <f>IF(OR(F74&gt;Config!$D$24,F74&lt;Config!$C$23,BL43=0,BP74&gt;Config!$D$24,BP74&lt;Config!$C$23),"ERR","OK")</f>
        <v>0</v>
      </c>
      <c r="BK43">
        <f>IF(OR(L43&gt;100,L43&lt;7,BL43=0),"ERR","OK")</f>
        <v>0</v>
      </c>
      <c r="BL43">
        <f>IF(SUM(F43:BD43)=0,0,1)</f>
        <v>0</v>
      </c>
      <c r="BM43">
        <f>IF(AND(BP43&lt;0,L43&lt;=80),80,L43)</f>
        <v>0</v>
      </c>
      <c r="BN43">
        <f>MIN(F43:F54,H43:H54,I43:I54,J43:J54,AZ43:AZ54)</f>
        <v>0</v>
      </c>
      <c r="BO43">
        <f>MAX(F43:F54,H43:H54,I43:I54,J43:J54,AZ43:AZ54)</f>
        <v>0</v>
      </c>
      <c r="BP43">
        <f>IF(AJ43,BP42,F74)</f>
        <v>0</v>
      </c>
    </row>
    <row r="44" spans="1:68">
      <c r="A44">
        <f>A43+1</f>
        <v>0</v>
      </c>
      <c r="B44">
        <f>MOD(INT(C44/60),60)</f>
        <v>0</v>
      </c>
      <c r="C44">
        <f>C43+300</f>
        <v>0</v>
      </c>
      <c r="D44">
        <f>INT(C44/3600)</f>
        <v>0</v>
      </c>
      <c r="E44">
        <f>INT(D44/24)+1</f>
        <v>0</v>
      </c>
      <c r="F44">
        <v>22</v>
      </c>
      <c r="G44">
        <v>0</v>
      </c>
      <c r="H44">
        <f>$F44</f>
        <v>0</v>
      </c>
      <c r="I44">
        <f>$F44</f>
        <v>0</v>
      </c>
      <c r="J44">
        <f>$F44</f>
        <v>0</v>
      </c>
      <c r="K44">
        <v>1</v>
      </c>
      <c r="L44">
        <v>60</v>
      </c>
      <c r="M44">
        <v>0</v>
      </c>
      <c r="N44">
        <v>0</v>
      </c>
      <c r="O44">
        <v>1</v>
      </c>
      <c r="P44">
        <v>450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60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20</v>
      </c>
      <c r="BA44">
        <v>0</v>
      </c>
      <c r="BB44">
        <v>0</v>
      </c>
      <c r="BC44">
        <v>0</v>
      </c>
      <c r="BD44">
        <v>0</v>
      </c>
      <c r="BE44">
        <v>0</v>
      </c>
      <c r="BJ44">
        <f>IF(OR(F75&gt;Config!$D$24,F75&lt;Config!$C$23,BL44=0,BP75&gt;Config!$D$24,BP75&lt;Config!$C$23),"ERR","OK")</f>
        <v>0</v>
      </c>
      <c r="BK44">
        <f>IF(OR(L44&gt;100,L44&lt;7,BL44=0),"ERR","OK")</f>
        <v>0</v>
      </c>
      <c r="BL44">
        <f>IF(SUM(F44:BD44)=0,0,1)</f>
        <v>0</v>
      </c>
      <c r="BM44">
        <f>IF(AND(BP44&lt;0,L44&lt;=80),80,L44)</f>
        <v>0</v>
      </c>
      <c r="BN44">
        <f>MIN(F44:F55,H44:H55,I44:I55,J44:J55,AZ44:AZ55)</f>
        <v>0</v>
      </c>
      <c r="BO44">
        <f>MAX(F44:F55,H44:H55,I44:I55,J44:J55,AZ44:AZ55)</f>
        <v>0</v>
      </c>
      <c r="BP44">
        <f>IF(AJ44,BP43,F75)</f>
        <v>0</v>
      </c>
    </row>
    <row r="45" spans="1:68">
      <c r="A45">
        <f>A44+1</f>
        <v>0</v>
      </c>
      <c r="B45">
        <f>MOD(INT(C45/60),60)</f>
        <v>0</v>
      </c>
      <c r="C45">
        <f>C44+300</f>
        <v>0</v>
      </c>
      <c r="D45">
        <f>INT(C45/3600)</f>
        <v>0</v>
      </c>
      <c r="E45">
        <f>INT(D45/24)+1</f>
        <v>0</v>
      </c>
      <c r="F45">
        <v>22</v>
      </c>
      <c r="G45">
        <v>0</v>
      </c>
      <c r="H45">
        <f>$F45</f>
        <v>0</v>
      </c>
      <c r="I45">
        <f>$F45</f>
        <v>0</v>
      </c>
      <c r="J45">
        <f>$F45</f>
        <v>0</v>
      </c>
      <c r="K45">
        <v>1</v>
      </c>
      <c r="L45">
        <v>60</v>
      </c>
      <c r="M45">
        <v>0</v>
      </c>
      <c r="N45">
        <v>0</v>
      </c>
      <c r="O45">
        <v>1</v>
      </c>
      <c r="P45">
        <v>450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60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20</v>
      </c>
      <c r="BA45">
        <v>0</v>
      </c>
      <c r="BB45">
        <v>0</v>
      </c>
      <c r="BC45">
        <v>0</v>
      </c>
      <c r="BD45">
        <v>0</v>
      </c>
      <c r="BE45">
        <v>0</v>
      </c>
      <c r="BJ45">
        <f>IF(OR(F76&gt;Config!$D$24,F76&lt;Config!$C$23,BL45=0,BP76&gt;Config!$D$24,BP76&lt;Config!$C$23),"ERR","OK")</f>
        <v>0</v>
      </c>
      <c r="BK45">
        <f>IF(OR(L45&gt;100,L45&lt;7,BL45=0),"ERR","OK")</f>
        <v>0</v>
      </c>
      <c r="BL45">
        <f>IF(SUM(F45:BD45)=0,0,1)</f>
        <v>0</v>
      </c>
      <c r="BM45">
        <f>IF(AND(BP45&lt;0,L45&lt;=80),80,L45)</f>
        <v>0</v>
      </c>
      <c r="BN45">
        <f>MIN(F45:F56,H45:H56,I45:I56,J45:J56,AZ45:AZ56)</f>
        <v>0</v>
      </c>
      <c r="BO45">
        <f>MAX(F45:F56,H45:H56,I45:I56,J45:J56,AZ45:AZ56)</f>
        <v>0</v>
      </c>
      <c r="BP45">
        <f>IF(AJ45,BP44,F76)</f>
        <v>0</v>
      </c>
    </row>
    <row r="46" spans="1:68">
      <c r="A46">
        <f>A45+1</f>
        <v>0</v>
      </c>
      <c r="B46">
        <f>MOD(INT(C46/60),60)</f>
        <v>0</v>
      </c>
      <c r="C46">
        <f>C45+300</f>
        <v>0</v>
      </c>
      <c r="D46">
        <f>INT(C46/3600)</f>
        <v>0</v>
      </c>
      <c r="E46">
        <f>INT(D46/24)+1</f>
        <v>0</v>
      </c>
      <c r="F46">
        <v>22</v>
      </c>
      <c r="G46">
        <v>0</v>
      </c>
      <c r="H46">
        <f>$F46</f>
        <v>0</v>
      </c>
      <c r="I46">
        <f>$F46</f>
        <v>0</v>
      </c>
      <c r="J46">
        <f>$F46</f>
        <v>0</v>
      </c>
      <c r="K46">
        <v>1</v>
      </c>
      <c r="L46">
        <v>60</v>
      </c>
      <c r="M46">
        <v>0</v>
      </c>
      <c r="N46">
        <v>0</v>
      </c>
      <c r="O46">
        <v>1</v>
      </c>
      <c r="P46">
        <v>450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60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20</v>
      </c>
      <c r="BA46">
        <v>0</v>
      </c>
      <c r="BB46">
        <v>0</v>
      </c>
      <c r="BC46">
        <v>0</v>
      </c>
      <c r="BD46">
        <v>0</v>
      </c>
      <c r="BE46">
        <v>0</v>
      </c>
      <c r="BJ46">
        <f>IF(OR(F77&gt;Config!$D$24,F77&lt;Config!$C$23,BL46=0,BP77&gt;Config!$D$24,BP77&lt;Config!$C$23),"ERR","OK")</f>
        <v>0</v>
      </c>
      <c r="BK46">
        <f>IF(OR(L46&gt;100,L46&lt;7,BL46=0),"ERR","OK")</f>
        <v>0</v>
      </c>
      <c r="BL46">
        <f>IF(SUM(F46:BD46)=0,0,1)</f>
        <v>0</v>
      </c>
      <c r="BM46">
        <f>IF(AND(BP46&lt;0,L46&lt;=80),80,L46)</f>
        <v>0</v>
      </c>
      <c r="BN46">
        <f>MIN(F46:F57,H46:H57,I46:I57,J46:J57,AZ46:AZ57)</f>
        <v>0</v>
      </c>
      <c r="BO46">
        <f>MAX(F46:F57,H46:H57,I46:I57,J46:J57,AZ46:AZ57)</f>
        <v>0</v>
      </c>
      <c r="BP46">
        <f>IF(AJ46,BP45,F77)</f>
        <v>0</v>
      </c>
    </row>
    <row r="47" spans="1:68">
      <c r="A47">
        <f>A46+1</f>
        <v>0</v>
      </c>
      <c r="B47">
        <f>MOD(INT(C47/60),60)</f>
        <v>0</v>
      </c>
      <c r="C47">
        <f>C46+300</f>
        <v>0</v>
      </c>
      <c r="D47">
        <f>INT(C47/3600)</f>
        <v>0</v>
      </c>
      <c r="E47">
        <f>INT(D47/24)+1</f>
        <v>0</v>
      </c>
      <c r="F47">
        <v>22</v>
      </c>
      <c r="G47">
        <v>0</v>
      </c>
      <c r="H47">
        <f>$F47</f>
        <v>0</v>
      </c>
      <c r="I47">
        <f>$F47</f>
        <v>0</v>
      </c>
      <c r="J47">
        <f>$F47</f>
        <v>0</v>
      </c>
      <c r="K47">
        <v>1</v>
      </c>
      <c r="L47">
        <v>60</v>
      </c>
      <c r="M47">
        <v>0</v>
      </c>
      <c r="N47">
        <v>0</v>
      </c>
      <c r="O47">
        <v>1</v>
      </c>
      <c r="P47">
        <v>450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60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20</v>
      </c>
      <c r="BA47">
        <v>0</v>
      </c>
      <c r="BB47">
        <v>0</v>
      </c>
      <c r="BC47">
        <v>0</v>
      </c>
      <c r="BD47">
        <v>0</v>
      </c>
      <c r="BE47">
        <v>0</v>
      </c>
      <c r="BJ47">
        <f>IF(OR(F78&gt;Config!$D$24,F78&lt;Config!$C$23,BL47=0,BP78&gt;Config!$D$24,BP78&lt;Config!$C$23),"ERR","OK")</f>
        <v>0</v>
      </c>
      <c r="BK47">
        <f>IF(OR(L47&gt;100,L47&lt;7,BL47=0),"ERR","OK")</f>
        <v>0</v>
      </c>
      <c r="BL47">
        <f>IF(SUM(F47:BD47)=0,0,1)</f>
        <v>0</v>
      </c>
      <c r="BM47">
        <f>IF(AND(BP47&lt;0,L47&lt;=80),80,L47)</f>
        <v>0</v>
      </c>
      <c r="BN47">
        <f>MIN(F47:F58,H47:H58,I47:I58,J47:J58,AZ47:AZ58)</f>
        <v>0</v>
      </c>
      <c r="BO47">
        <f>MAX(F47:F58,H47:H58,I47:I58,J47:J58,AZ47:AZ58)</f>
        <v>0</v>
      </c>
      <c r="BP47">
        <f>IF(AJ47,BP46,F78)</f>
        <v>0</v>
      </c>
    </row>
    <row r="48" spans="1:68">
      <c r="A48">
        <f>A47+1</f>
        <v>0</v>
      </c>
      <c r="B48">
        <f>MOD(INT(C48/60),60)</f>
        <v>0</v>
      </c>
      <c r="C48">
        <f>C47+300</f>
        <v>0</v>
      </c>
      <c r="D48">
        <f>INT(C48/3600)</f>
        <v>0</v>
      </c>
      <c r="E48">
        <f>INT(D48/24)+1</f>
        <v>0</v>
      </c>
      <c r="F48">
        <v>22</v>
      </c>
      <c r="G48">
        <v>0</v>
      </c>
      <c r="H48">
        <f>$F48</f>
        <v>0</v>
      </c>
      <c r="I48">
        <f>$F48</f>
        <v>0</v>
      </c>
      <c r="J48">
        <f>$F48</f>
        <v>0</v>
      </c>
      <c r="K48">
        <v>1</v>
      </c>
      <c r="L48">
        <v>60</v>
      </c>
      <c r="M48">
        <v>0</v>
      </c>
      <c r="N48">
        <v>0</v>
      </c>
      <c r="O48">
        <v>1</v>
      </c>
      <c r="P48">
        <v>450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60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20</v>
      </c>
      <c r="BA48">
        <v>0</v>
      </c>
      <c r="BB48">
        <v>0</v>
      </c>
      <c r="BC48">
        <v>0</v>
      </c>
      <c r="BD48">
        <v>0</v>
      </c>
      <c r="BE48">
        <v>0</v>
      </c>
      <c r="BJ48">
        <f>IF(OR(F79&gt;Config!$D$24,F79&lt;Config!$C$23,BL48=0,BP79&gt;Config!$D$24,BP79&lt;Config!$C$23),"ERR","OK")</f>
        <v>0</v>
      </c>
      <c r="BK48">
        <f>IF(OR(L48&gt;100,L48&lt;7,BL48=0),"ERR","OK")</f>
        <v>0</v>
      </c>
      <c r="BL48">
        <f>IF(SUM(F48:BD48)=0,0,1)</f>
        <v>0</v>
      </c>
      <c r="BM48">
        <f>IF(AND(BP48&lt;0,L48&lt;=80),80,L48)</f>
        <v>0</v>
      </c>
      <c r="BN48">
        <f>MIN(F48:F59,H48:H59,I48:I59,J48:J59,AZ48:AZ59)</f>
        <v>0</v>
      </c>
      <c r="BO48">
        <f>MAX(F48:F59,H48:H59,I48:I59,J48:J59,AZ48:AZ59)</f>
        <v>0</v>
      </c>
      <c r="BP48">
        <f>IF(AJ48,BP47,F79)</f>
        <v>0</v>
      </c>
    </row>
    <row r="49" spans="1:68">
      <c r="A49">
        <f>A48+1</f>
        <v>0</v>
      </c>
      <c r="B49">
        <f>MOD(INT(C49/60),60)</f>
        <v>0</v>
      </c>
      <c r="C49">
        <f>C48+300</f>
        <v>0</v>
      </c>
      <c r="D49">
        <f>INT(C49/3600)</f>
        <v>0</v>
      </c>
      <c r="E49">
        <f>INT(D49/24)+1</f>
        <v>0</v>
      </c>
      <c r="F49">
        <v>22</v>
      </c>
      <c r="G49">
        <v>0</v>
      </c>
      <c r="H49">
        <f>$F49</f>
        <v>0</v>
      </c>
      <c r="I49">
        <f>$F49</f>
        <v>0</v>
      </c>
      <c r="J49">
        <f>$F49</f>
        <v>0</v>
      </c>
      <c r="K49">
        <v>1</v>
      </c>
      <c r="L49">
        <v>60</v>
      </c>
      <c r="M49">
        <v>0</v>
      </c>
      <c r="N49">
        <v>0</v>
      </c>
      <c r="O49">
        <v>1</v>
      </c>
      <c r="P49">
        <v>450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60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20</v>
      </c>
      <c r="BA49">
        <v>0</v>
      </c>
      <c r="BB49">
        <v>0</v>
      </c>
      <c r="BC49">
        <v>0</v>
      </c>
      <c r="BD49">
        <v>0</v>
      </c>
      <c r="BE49">
        <v>0</v>
      </c>
      <c r="BJ49">
        <f>IF(OR(F80&gt;Config!$D$24,F80&lt;Config!$C$23,BL49=0,BP80&gt;Config!$D$24,BP80&lt;Config!$C$23),"ERR","OK")</f>
        <v>0</v>
      </c>
      <c r="BK49">
        <f>IF(OR(L49&gt;100,L49&lt;7,BL49=0),"ERR","OK")</f>
        <v>0</v>
      </c>
      <c r="BL49">
        <f>IF(SUM(F49:BD49)=0,0,1)</f>
        <v>0</v>
      </c>
      <c r="BM49">
        <f>IF(AND(BP49&lt;0,L49&lt;=80),80,L49)</f>
        <v>0</v>
      </c>
      <c r="BN49">
        <f>MIN(F49:F60,H49:H60,I49:I60,J49:J60,AZ49:AZ60)</f>
        <v>0</v>
      </c>
      <c r="BO49">
        <f>MAX(F49:F60,H49:H60,I49:I60,J49:J60,AZ49:AZ60)</f>
        <v>0</v>
      </c>
      <c r="BP49">
        <f>IF(AJ49,BP48,F80)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30:J37"/>
  <sheetViews>
    <sheetView workbookViewId="0"/>
  </sheetViews>
  <sheetFormatPr defaultRowHeight="15"/>
  <sheetData>
    <row r="30" spans="1:10">
      <c r="B30" t="s">
        <v>122</v>
      </c>
      <c r="C30" t="s">
        <v>123</v>
      </c>
      <c r="D30" t="s">
        <v>124</v>
      </c>
      <c r="E30" t="s">
        <v>125</v>
      </c>
      <c r="F30" t="s">
        <v>126</v>
      </c>
      <c r="G30" t="s">
        <v>127</v>
      </c>
      <c r="H30" t="s">
        <v>128</v>
      </c>
      <c r="I30" t="s">
        <v>129</v>
      </c>
      <c r="J30" t="s">
        <v>130</v>
      </c>
    </row>
    <row r="31" spans="1:10">
      <c r="A31" t="s">
        <v>108</v>
      </c>
      <c r="B31">
        <f>MIN(Automate!BD:BD)</f>
        <v>0</v>
      </c>
      <c r="C31">
        <f>MIN(Automate!BE:BE)</f>
        <v>0</v>
      </c>
      <c r="D31">
        <f>MIN(Programmation!F:F)</f>
        <v>0</v>
      </c>
      <c r="E31">
        <f>MIN(Programmation!H:H)</f>
        <v>0</v>
      </c>
      <c r="F31">
        <f>MIN(Programmation!I:I)</f>
        <v>0</v>
      </c>
      <c r="G31">
        <f>MIN(Programmation!J:J)</f>
        <v>0</v>
      </c>
      <c r="H31">
        <f>MIN(Programmation!AZ:AZ)</f>
        <v>0</v>
      </c>
      <c r="I31">
        <f>MIN(Programmation!L:L)</f>
        <v>0</v>
      </c>
      <c r="J31">
        <f>MIN(Programmation!P:P)</f>
        <v>0</v>
      </c>
    </row>
    <row r="32" spans="1:10">
      <c r="A32" t="s">
        <v>118</v>
      </c>
      <c r="B32">
        <f>MAX(Automate!BD:BD)</f>
        <v>0</v>
      </c>
      <c r="C32">
        <f>MAX(Automate!BE:BE)</f>
        <v>0</v>
      </c>
      <c r="D32">
        <f>MAX(Programmation!F:F)</f>
        <v>0</v>
      </c>
      <c r="E32">
        <f>MAX(Programmation!H:H)</f>
        <v>0</v>
      </c>
      <c r="F32">
        <f>MAX(Programmation!I:I)</f>
        <v>0</v>
      </c>
      <c r="G32">
        <f>MAX(Programmation!J:J)</f>
        <v>0</v>
      </c>
      <c r="H32">
        <f>MAX(Programmation!AZ:AZ)</f>
        <v>0</v>
      </c>
      <c r="I32">
        <f>MAX(Programmation!L:L)</f>
        <v>0</v>
      </c>
      <c r="J32">
        <f>MAX(Programmation!P:P)</f>
        <v>0</v>
      </c>
    </row>
    <row r="35" spans="1:2">
      <c r="A35" t="s">
        <v>131</v>
      </c>
      <c r="B35">
        <f>MATCH(0,Programmation!BL:BL,0)</f>
        <v>0</v>
      </c>
    </row>
    <row r="36" spans="1:2">
      <c r="A36" t="s">
        <v>132</v>
      </c>
      <c r="B36">
        <f>MATCH("ERR",Programmation!BJ:BJ,0)</f>
        <v>0</v>
      </c>
    </row>
    <row r="37" spans="1:2">
      <c r="A37" t="s">
        <v>133</v>
      </c>
      <c r="B37">
        <f>MATCH("ERR",Programmation!BK:BK,0)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G24"/>
  <sheetViews>
    <sheetView workbookViewId="0"/>
  </sheetViews>
  <sheetFormatPr defaultRowHeight="15"/>
  <sheetData>
    <row r="4" spans="1:7">
      <c r="A4" t="s">
        <v>105</v>
      </c>
      <c r="B4">
        <v>60</v>
      </c>
    </row>
    <row r="5" spans="1:7">
      <c r="A5" t="s">
        <v>106</v>
      </c>
      <c r="B5">
        <v>0</v>
      </c>
    </row>
    <row r="7" spans="1:7">
      <c r="A7" t="s">
        <v>107</v>
      </c>
    </row>
    <row r="8" spans="1:7">
      <c r="B8" t="s">
        <v>108</v>
      </c>
      <c r="E8" t="s">
        <v>108</v>
      </c>
    </row>
    <row r="9" spans="1:7">
      <c r="A9" t="s">
        <v>109</v>
      </c>
      <c r="B9">
        <v>5</v>
      </c>
      <c r="D9" t="s">
        <v>112</v>
      </c>
      <c r="E9">
        <v>5</v>
      </c>
    </row>
    <row r="10" spans="1:7">
      <c r="A10" t="s">
        <v>110</v>
      </c>
      <c r="B10">
        <v>5</v>
      </c>
    </row>
    <row r="11" spans="1:7">
      <c r="A11" t="s">
        <v>111</v>
      </c>
      <c r="B11">
        <v>5</v>
      </c>
    </row>
    <row r="14" spans="1:7">
      <c r="A14" t="s">
        <v>113</v>
      </c>
    </row>
    <row r="15" spans="1:7">
      <c r="C15" t="s">
        <v>117</v>
      </c>
      <c r="E15" t="s">
        <v>119</v>
      </c>
    </row>
    <row r="16" spans="1:7">
      <c r="B16" t="s">
        <v>116</v>
      </c>
      <c r="C16" t="s">
        <v>108</v>
      </c>
      <c r="D16" t="s">
        <v>118</v>
      </c>
      <c r="E16" t="s">
        <v>108</v>
      </c>
      <c r="F16" t="s">
        <v>118</v>
      </c>
      <c r="G16" t="s">
        <v>120</v>
      </c>
    </row>
    <row r="17" spans="1:7">
      <c r="A17" t="s">
        <v>114</v>
      </c>
      <c r="B17">
        <v>-6.5</v>
      </c>
      <c r="C17">
        <v>-15</v>
      </c>
      <c r="D17">
        <v>10</v>
      </c>
      <c r="E17">
        <v>-15</v>
      </c>
      <c r="F17">
        <v>5</v>
      </c>
      <c r="G17">
        <v>-6</v>
      </c>
    </row>
    <row r="18" spans="1:7">
      <c r="A18" t="s">
        <v>115</v>
      </c>
      <c r="B18">
        <v>10</v>
      </c>
      <c r="C18">
        <v>20</v>
      </c>
      <c r="D18">
        <v>55</v>
      </c>
      <c r="E18">
        <v>20</v>
      </c>
      <c r="F18">
        <v>55</v>
      </c>
      <c r="G18">
        <v>10</v>
      </c>
    </row>
    <row r="21" spans="1:7">
      <c r="C21" t="s">
        <v>121</v>
      </c>
    </row>
    <row r="22" spans="1:7">
      <c r="B22" t="s">
        <v>116</v>
      </c>
      <c r="C22" t="s">
        <v>108</v>
      </c>
      <c r="D22" t="s">
        <v>118</v>
      </c>
    </row>
    <row r="23" spans="1:7">
      <c r="A23" t="s">
        <v>114</v>
      </c>
      <c r="B23">
        <f>B17-G17</f>
        <v>0</v>
      </c>
      <c r="C23">
        <f>IF(B5=1,E17,C17)-G17</f>
        <v>0</v>
      </c>
      <c r="D23">
        <f>IF(B5=1,F17,D17)-G17</f>
        <v>0</v>
      </c>
    </row>
    <row r="24" spans="1:7">
      <c r="A24" t="s">
        <v>115</v>
      </c>
      <c r="B24">
        <f>B18-G18</f>
        <v>0</v>
      </c>
      <c r="C24">
        <f>IF(B5=1,E18,C18)-G18</f>
        <v>0</v>
      </c>
      <c r="D24">
        <f>IF(B5=1,F18,D18)-G18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Automate</vt:lpstr>
      <vt:lpstr>Programmation</vt:lpstr>
      <vt:lpstr>Infos</vt:lpstr>
      <vt:lpstr>Config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2026-01-30T10:18:08Z</dcterms:created>
  <dcterms:modified xsi:type="dcterms:W3CDTF">2026-01-30T10:18:08Z</dcterms:modified>
</cp:coreProperties>
</file>
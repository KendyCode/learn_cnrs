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" sheetId="1" state="visible" r:id="rId1"/>
    <sheet name="Programmation" sheetId="2" state="visible" r:id="rId2"/>
    <sheet name="Info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</cols>
  <sheetData>
    <row r="1">
      <c r="A1" t="inlineStr">
        <is>
          <t>NUMERO_E</t>
        </is>
      </c>
      <c r="B1" t="inlineStr">
        <is>
          <t>HEURE_E</t>
        </is>
      </c>
      <c r="C1" t="inlineStr">
        <is>
          <t>MINUTE_E</t>
        </is>
      </c>
      <c r="D1" t="inlineStr">
        <is>
          <t>SECONDE_E</t>
        </is>
      </c>
      <c r="E1" t="inlineStr">
        <is>
          <t>TEMP_CEL</t>
        </is>
      </c>
      <c r="F1" t="inlineStr">
        <is>
          <t>REGUL_ECORIUM</t>
        </is>
      </c>
      <c r="G1" t="inlineStr">
        <is>
          <t>T_ECOR_FOND</t>
        </is>
      </c>
      <c r="H1" t="inlineStr">
        <is>
          <t>T_ECOR_INF</t>
        </is>
      </c>
      <c r="I1" t="inlineStr">
        <is>
          <t>T_ECOR_SUP</t>
        </is>
      </c>
      <c r="J1" t="inlineStr">
        <is>
          <t>REGUL_HYG</t>
        </is>
      </c>
      <c r="K1" t="inlineStr">
        <is>
          <t>HYG_CEL</t>
        </is>
      </c>
      <c r="L1" t="inlineStr">
        <is>
          <t>REGUL_PRESSION</t>
        </is>
      </c>
      <c r="M1" t="inlineStr">
        <is>
          <t>PRESSION</t>
        </is>
      </c>
      <c r="N1" t="inlineStr">
        <is>
          <t>REGUL_CO</t>
        </is>
      </c>
      <c r="O1" t="inlineStr">
        <is>
          <t>CO</t>
        </is>
      </c>
      <c r="P1" t="inlineStr">
        <is>
          <t>REGUL_O</t>
        </is>
      </c>
      <c r="Q1" t="inlineStr">
        <is>
          <t>O</t>
        </is>
      </c>
      <c r="R1" t="inlineStr">
        <is>
          <t>REGUL_N</t>
        </is>
      </c>
      <c r="S1" t="inlineStr">
        <is>
          <t>N</t>
        </is>
      </c>
      <c r="T1" t="inlineStr">
        <is>
          <t>REGUL_X</t>
        </is>
      </c>
      <c r="U1" t="inlineStr">
        <is>
          <t>X</t>
        </is>
      </c>
      <c r="V1" t="inlineStr">
        <is>
          <t>HAUTEUR_ECOLUX</t>
        </is>
      </c>
      <c r="W1" t="inlineStr">
        <is>
          <t>INTENSITE_ECOLUX</t>
        </is>
      </c>
      <c r="X1" t="inlineStr">
        <is>
          <t>CONFIG_ECOLUX</t>
        </is>
      </c>
      <c r="Y1" t="inlineStr">
        <is>
          <t>PLUIE</t>
        </is>
      </c>
      <c r="Z1" t="inlineStr">
        <is>
          <t>VITESSE_VENT_PRINC</t>
        </is>
      </c>
      <c r="AA1" t="inlineStr">
        <is>
          <t>VENT_LATERAL</t>
        </is>
      </c>
      <c r="AB1" t="inlineStr">
        <is>
          <t>RENO_AIR</t>
        </is>
      </c>
      <c r="AC1" t="inlineStr">
        <is>
          <t>CONFIG_MES_INCUB</t>
        </is>
      </c>
      <c r="AD1" t="inlineStr">
        <is>
          <t>ACTION_UN</t>
        </is>
      </c>
      <c r="AE1" t="inlineStr">
        <is>
          <t>ACTION_DEUX</t>
        </is>
      </c>
      <c r="AF1" t="inlineStr">
        <is>
          <t>ACTION_TROIS</t>
        </is>
      </c>
      <c r="AG1" t="inlineStr">
        <is>
          <t>ACTION_QUATRE</t>
        </is>
      </c>
      <c r="AH1" t="inlineStr">
        <is>
          <t>ACTION_CINQ</t>
        </is>
      </c>
      <c r="AI1" t="inlineStr">
        <is>
          <t>ACTION_SIX</t>
        </is>
      </c>
      <c r="AJ1" t="inlineStr">
        <is>
          <t>ACTION_SEPT</t>
        </is>
      </c>
      <c r="AK1" t="inlineStr">
        <is>
          <t>ACTION_HUIT</t>
        </is>
      </c>
      <c r="AL1" t="inlineStr">
        <is>
          <t>ACTION_NEUF</t>
        </is>
      </c>
      <c r="AM1" t="inlineStr">
        <is>
          <t>ACTION_DIX</t>
        </is>
      </c>
      <c r="AN1" t="inlineStr">
        <is>
          <t>ACTION_ONZE</t>
        </is>
      </c>
      <c r="AO1" t="inlineStr">
        <is>
          <t>ACTION_DOUZE</t>
        </is>
      </c>
      <c r="AP1" t="inlineStr">
        <is>
          <t>ACTION_TREIZE</t>
        </is>
      </c>
      <c r="AQ1" t="inlineStr">
        <is>
          <t>ACTION_QUATORZE</t>
        </is>
      </c>
      <c r="AR1" t="inlineStr">
        <is>
          <t>ACTION_QUINZE</t>
        </is>
      </c>
      <c r="AS1" t="inlineStr">
        <is>
          <t>TEMP_PLUIE</t>
        </is>
      </c>
      <c r="AT1" t="inlineStr">
        <is>
          <t>CHROMATO</t>
        </is>
      </c>
      <c r="AU1" t="inlineStr">
        <is>
          <t>EV_VIDANGE_ECORIUM</t>
        </is>
      </c>
      <c r="AV1" t="inlineStr">
        <is>
          <t>EV_VIDANGE_CANIVEAU</t>
        </is>
      </c>
      <c r="AW1" t="inlineStr">
        <is>
          <t>EV_VIDANGE_CLIM</t>
        </is>
      </c>
      <c r="AX1" t="inlineStr">
        <is>
          <t>CONSIGNE_ESSAI</t>
        </is>
      </c>
      <c r="AY1" t="inlineStr">
        <is>
          <t>P_VAP_SAT</t>
        </is>
      </c>
      <c r="AZ1" t="inlineStr">
        <is>
          <t>PT_ROSEE</t>
        </is>
      </c>
      <c r="BA1" t="inlineStr">
        <is>
          <t>HS_PROGR</t>
        </is>
      </c>
      <c r="BB1" t="inlineStr">
        <is>
          <t>T_BALLON_CHAUD</t>
        </is>
      </c>
      <c r="BC1" t="inlineStr">
        <is>
          <t>T_BALLON_FROID</t>
        </is>
      </c>
      <c r="BD1" t="inlineStr">
        <is>
          <t>BALLON_CHAUD_REEL</t>
        </is>
      </c>
      <c r="BE1" t="inlineStr">
        <is>
          <t>BALLON_FROID_REEL</t>
        </is>
      </c>
      <c r="BF1" t="inlineStr">
        <is>
          <t>Temp_progr</t>
        </is>
      </c>
      <c r="BG1" t="inlineStr">
        <is>
          <t>M_A</t>
        </is>
      </c>
    </row>
    <row r="2">
      <c r="A2">
        <f>Programmation!A2</f>
        <v/>
      </c>
      <c r="B2">
        <f>Programmation!D2</f>
        <v/>
      </c>
      <c r="C2">
        <f>Programmation!B2</f>
        <v/>
      </c>
      <c r="D2">
        <f>Programmation!C2</f>
        <v/>
      </c>
      <c r="E2">
        <f>Programmation!F2*10</f>
        <v/>
      </c>
      <c r="F2">
        <f>Programmation!G2</f>
        <v/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>
        <f>Programmation!A3</f>
        <v/>
      </c>
      <c r="B3">
        <f>Programmation!D3</f>
        <v/>
      </c>
      <c r="C3">
        <f>Programmation!B3</f>
        <v/>
      </c>
      <c r="D3">
        <f>Programmation!C3</f>
        <v/>
      </c>
      <c r="E3">
        <f>Programmation!F3*10</f>
        <v/>
      </c>
      <c r="F3">
        <f>Programmation!G3</f>
        <v/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>
        <f>Programmation!A4</f>
        <v/>
      </c>
      <c r="B4">
        <f>Programmation!D4</f>
        <v/>
      </c>
      <c r="C4">
        <f>Programmation!B4</f>
        <v/>
      </c>
      <c r="D4">
        <f>Programmation!C4</f>
        <v/>
      </c>
      <c r="E4">
        <f>Programmation!F4*10</f>
        <v/>
      </c>
      <c r="F4">
        <f>Programmation!G4</f>
        <v/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>
        <f>Programmation!A5</f>
        <v/>
      </c>
      <c r="B5">
        <f>Programmation!D5</f>
        <v/>
      </c>
      <c r="C5">
        <f>Programmation!B5</f>
        <v/>
      </c>
      <c r="D5">
        <f>Programmation!C5</f>
        <v/>
      </c>
      <c r="E5">
        <f>Programmation!F5*10</f>
        <v/>
      </c>
      <c r="F5">
        <f>Programmation!G5</f>
        <v/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>
        <f>Programmation!A6</f>
        <v/>
      </c>
      <c r="B6">
        <f>Programmation!D6</f>
        <v/>
      </c>
      <c r="C6">
        <f>Programmation!B6</f>
        <v/>
      </c>
      <c r="D6">
        <f>Programmation!C6</f>
        <v/>
      </c>
      <c r="E6">
        <f>Programmation!F6*10</f>
        <v/>
      </c>
      <c r="F6">
        <f>Programmation!G6</f>
        <v/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>
        <f>Programmation!A7</f>
        <v/>
      </c>
      <c r="B7">
        <f>Programmation!D7</f>
        <v/>
      </c>
      <c r="C7">
        <f>Programmation!B7</f>
        <v/>
      </c>
      <c r="D7">
        <f>Programmation!C7</f>
        <v/>
      </c>
      <c r="E7">
        <f>Programmation!F7*10</f>
        <v/>
      </c>
      <c r="F7">
        <f>Programmation!G7</f>
        <v/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>
        <f>Programmation!A8</f>
        <v/>
      </c>
      <c r="B8">
        <f>Programmation!D8</f>
        <v/>
      </c>
      <c r="C8">
        <f>Programmation!B8</f>
        <v/>
      </c>
      <c r="D8">
        <f>Programmation!C8</f>
        <v/>
      </c>
      <c r="E8">
        <f>Programmation!F8*10</f>
        <v/>
      </c>
      <c r="F8">
        <f>Programmation!G8</f>
        <v/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>
        <f>Programmation!A9</f>
        <v/>
      </c>
      <c r="B9">
        <f>Programmation!D9</f>
        <v/>
      </c>
      <c r="C9">
        <f>Programmation!B9</f>
        <v/>
      </c>
      <c r="D9">
        <f>Programmation!C9</f>
        <v/>
      </c>
      <c r="E9">
        <f>Programmation!F9*10</f>
        <v/>
      </c>
      <c r="F9">
        <f>Programmation!G9</f>
        <v/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>
        <f>Programmation!A10</f>
        <v/>
      </c>
      <c r="B10">
        <f>Programmation!D10</f>
        <v/>
      </c>
      <c r="C10">
        <f>Programmation!B10</f>
        <v/>
      </c>
      <c r="D10">
        <f>Programmation!C10</f>
        <v/>
      </c>
      <c r="E10">
        <f>Programmation!F10*10</f>
        <v/>
      </c>
      <c r="F10">
        <f>Programmation!G10</f>
        <v/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>
        <f>Programmation!A11</f>
        <v/>
      </c>
      <c r="B11">
        <f>Programmation!D11</f>
        <v/>
      </c>
      <c r="C11">
        <f>Programmation!B11</f>
        <v/>
      </c>
      <c r="D11">
        <f>Programmation!C11</f>
        <v/>
      </c>
      <c r="E11">
        <f>Programmation!F11*10</f>
        <v/>
      </c>
      <c r="F11">
        <f>Programmation!G11</f>
        <v/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>
        <f>Programmation!A12</f>
        <v/>
      </c>
      <c r="B12">
        <f>Programmation!D12</f>
        <v/>
      </c>
      <c r="C12">
        <f>Programmation!B12</f>
        <v/>
      </c>
      <c r="D12">
        <f>Programmation!C12</f>
        <v/>
      </c>
      <c r="E12">
        <f>Programmation!F12*10</f>
        <v/>
      </c>
      <c r="F12">
        <f>Programmation!G12</f>
        <v/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>
        <f>Programmation!A13</f>
        <v/>
      </c>
      <c r="B13">
        <f>Programmation!D13</f>
        <v/>
      </c>
      <c r="C13">
        <f>Programmation!B13</f>
        <v/>
      </c>
      <c r="D13">
        <f>Programmation!C13</f>
        <v/>
      </c>
      <c r="E13">
        <f>Programmation!F13*10</f>
        <v/>
      </c>
      <c r="F13">
        <f>Programmation!G13</f>
        <v/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>
        <f>Programmation!A14</f>
        <v/>
      </c>
      <c r="B14">
        <f>Programmation!D14</f>
        <v/>
      </c>
      <c r="C14">
        <f>Programmation!B14</f>
        <v/>
      </c>
      <c r="D14">
        <f>Programmation!C14</f>
        <v/>
      </c>
      <c r="E14">
        <f>Programmation!F14*10</f>
        <v/>
      </c>
      <c r="F14">
        <f>Programmation!G14</f>
        <v/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>
        <f>Programmation!A15</f>
        <v/>
      </c>
      <c r="B15">
        <f>Programmation!D15</f>
        <v/>
      </c>
      <c r="C15">
        <f>Programmation!B15</f>
        <v/>
      </c>
      <c r="D15">
        <f>Programmation!C15</f>
        <v/>
      </c>
      <c r="E15">
        <f>Programmation!F15*10</f>
        <v/>
      </c>
      <c r="F15">
        <f>Programmation!G15</f>
        <v/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>
        <f>Programmation!A16</f>
        <v/>
      </c>
      <c r="B16">
        <f>Programmation!D16</f>
        <v/>
      </c>
      <c r="C16">
        <f>Programmation!B16</f>
        <v/>
      </c>
      <c r="D16">
        <f>Programmation!C16</f>
        <v/>
      </c>
      <c r="E16">
        <f>Programmation!F16*10</f>
        <v/>
      </c>
      <c r="F16">
        <f>Programmation!G16</f>
        <v/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>
        <f>Programmation!A17</f>
        <v/>
      </c>
      <c r="B17">
        <f>Programmation!D17</f>
        <v/>
      </c>
      <c r="C17">
        <f>Programmation!B17</f>
        <v/>
      </c>
      <c r="D17">
        <f>Programmation!C17</f>
        <v/>
      </c>
      <c r="E17">
        <f>Programmation!F17*10</f>
        <v/>
      </c>
      <c r="F17">
        <f>Programmation!G17</f>
        <v/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>
        <f>Programmation!A18</f>
        <v/>
      </c>
      <c r="B18">
        <f>Programmation!D18</f>
        <v/>
      </c>
      <c r="C18">
        <f>Programmation!B18</f>
        <v/>
      </c>
      <c r="D18">
        <f>Programmation!C18</f>
        <v/>
      </c>
      <c r="E18">
        <f>Programmation!F18*10</f>
        <v/>
      </c>
      <c r="F18">
        <f>Programmation!G18</f>
        <v/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>
        <f>Programmation!A19</f>
        <v/>
      </c>
      <c r="B19">
        <f>Programmation!D19</f>
        <v/>
      </c>
      <c r="C19">
        <f>Programmation!B19</f>
        <v/>
      </c>
      <c r="D19">
        <f>Programmation!C19</f>
        <v/>
      </c>
      <c r="E19">
        <f>Programmation!F19*10</f>
        <v/>
      </c>
      <c r="F19">
        <f>Programmation!G19</f>
        <v/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>
        <f>Programmation!A20</f>
        <v/>
      </c>
      <c r="B20">
        <f>Programmation!D20</f>
        <v/>
      </c>
      <c r="C20">
        <f>Programmation!B20</f>
        <v/>
      </c>
      <c r="D20">
        <f>Programmation!C20</f>
        <v/>
      </c>
      <c r="E20">
        <f>Programmation!F20*10</f>
        <v/>
      </c>
      <c r="F20">
        <f>Programmation!G20</f>
        <v/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>
        <f>Programmation!A21</f>
        <v/>
      </c>
      <c r="B21">
        <f>Programmation!D21</f>
        <v/>
      </c>
      <c r="C21">
        <f>Programmation!B21</f>
        <v/>
      </c>
      <c r="D21">
        <f>Programmation!C21</f>
        <v/>
      </c>
      <c r="E21">
        <f>Programmation!F21*10</f>
        <v/>
      </c>
      <c r="F21">
        <f>Programmation!G21</f>
        <v/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>
        <f>Programmation!A22</f>
        <v/>
      </c>
      <c r="B22">
        <f>Programmation!D22</f>
        <v/>
      </c>
      <c r="C22">
        <f>Programmation!B22</f>
        <v/>
      </c>
      <c r="D22">
        <f>Programmation!C22</f>
        <v/>
      </c>
      <c r="E22">
        <f>Programmation!F22*10</f>
        <v/>
      </c>
      <c r="F22">
        <f>Programmation!G22</f>
        <v/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>
        <f>Programmation!A23</f>
        <v/>
      </c>
      <c r="B23">
        <f>Programmation!D23</f>
        <v/>
      </c>
      <c r="C23">
        <f>Programmation!B23</f>
        <v/>
      </c>
      <c r="D23">
        <f>Programmation!C23</f>
        <v/>
      </c>
      <c r="E23">
        <f>Programmation!F23*10</f>
        <v/>
      </c>
      <c r="F23">
        <f>Programmation!G23</f>
        <v/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>
        <f>Programmation!A24</f>
        <v/>
      </c>
      <c r="B24">
        <f>Programmation!D24</f>
        <v/>
      </c>
      <c r="C24">
        <f>Programmation!B24</f>
        <v/>
      </c>
      <c r="D24">
        <f>Programmation!C24</f>
        <v/>
      </c>
      <c r="E24">
        <f>Programmation!F24*10</f>
        <v/>
      </c>
      <c r="F24">
        <f>Programmation!G24</f>
        <v/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>
        <f>Programmation!A25</f>
        <v/>
      </c>
      <c r="B25">
        <f>Programmation!D25</f>
        <v/>
      </c>
      <c r="C25">
        <f>Programmation!B25</f>
        <v/>
      </c>
      <c r="D25">
        <f>Programmation!C25</f>
        <v/>
      </c>
      <c r="E25">
        <f>Programmation!F25*10</f>
        <v/>
      </c>
      <c r="F25">
        <f>Programmation!G25</f>
        <v/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>
      <c r="A1" t="inlineStr">
        <is>
          <t>No_Pas</t>
        </is>
      </c>
      <c r="B1" t="inlineStr">
        <is>
          <t>mn</t>
        </is>
      </c>
      <c r="C1" t="inlineStr">
        <is>
          <t>secondes</t>
        </is>
      </c>
      <c r="D1" t="inlineStr">
        <is>
          <t>no h</t>
        </is>
      </c>
      <c r="E1" t="inlineStr">
        <is>
          <t>no jours</t>
        </is>
      </c>
      <c r="F1" t="inlineStr">
        <is>
          <t>TEMP_CEL</t>
        </is>
      </c>
      <c r="G1" t="inlineStr">
        <is>
          <t>REGUL_ECORIUM</t>
        </is>
      </c>
      <c r="H1" t="inlineStr">
        <is>
          <t>T_ECOR_FOND</t>
        </is>
      </c>
      <c r="I1" t="inlineStr">
        <is>
          <t>T_ECOR_INF</t>
        </is>
      </c>
      <c r="J1" t="inlineStr">
        <is>
          <t>T_ECOR_SUP</t>
        </is>
      </c>
      <c r="K1" t="inlineStr">
        <is>
          <t>REGUL_HYG</t>
        </is>
      </c>
      <c r="L1" t="inlineStr">
        <is>
          <t>HYG_CEL</t>
        </is>
      </c>
      <c r="M1" t="inlineStr">
        <is>
          <t>REGUL_PRESSION</t>
        </is>
      </c>
      <c r="N1" t="inlineStr">
        <is>
          <t>PRESSION</t>
        </is>
      </c>
      <c r="O1" t="inlineStr">
        <is>
          <t>REGUL_C</t>
        </is>
      </c>
      <c r="P1" t="inlineStr">
        <is>
          <t>C</t>
        </is>
      </c>
      <c r="Q1" t="inlineStr">
        <is>
          <t>REGUL_O</t>
        </is>
      </c>
      <c r="R1" t="inlineStr">
        <is>
          <t>O</t>
        </is>
      </c>
      <c r="S1" t="inlineStr">
        <is>
          <t>REGUL_N</t>
        </is>
      </c>
      <c r="T1" t="inlineStr">
        <is>
          <t>N</t>
        </is>
      </c>
      <c r="U1" t="inlineStr">
        <is>
          <t>REGUL_X</t>
        </is>
      </c>
      <c r="V1" t="inlineStr">
        <is>
          <t>X</t>
        </is>
      </c>
      <c r="W1" t="inlineStr">
        <is>
          <t>HAUT_ECOLUX</t>
        </is>
      </c>
      <c r="X1" t="inlineStr">
        <is>
          <t>INT_ECOLUX</t>
        </is>
      </c>
      <c r="Y1" t="inlineStr">
        <is>
          <t>CONFIG_ECOLUX</t>
        </is>
      </c>
      <c r="Z1" t="inlineStr">
        <is>
          <t>INT_PLUIE</t>
        </is>
      </c>
      <c r="AA1" t="inlineStr">
        <is>
          <t>VITESSE_VENT</t>
        </is>
      </c>
      <c r="AB1" t="inlineStr">
        <is>
          <t>VENT_LATERAL_UN</t>
        </is>
      </c>
      <c r="AC1" t="inlineStr">
        <is>
          <t>VENT_LATERAL_DEUX</t>
        </is>
      </c>
      <c r="AD1" t="inlineStr">
        <is>
          <t>VENT_LATERAL_TROIS</t>
        </is>
      </c>
      <c r="AE1" t="inlineStr">
        <is>
          <t>VENT_LATERAL_QUATRE</t>
        </is>
      </c>
      <c r="AF1" t="inlineStr">
        <is>
          <t>INT_VENT_LAT</t>
        </is>
      </c>
      <c r="AG1" t="inlineStr">
        <is>
          <t>RENO_AIR</t>
        </is>
      </c>
      <c r="AH1" t="inlineStr">
        <is>
          <t>EVENT Chromato</t>
        </is>
      </c>
      <c r="AI1" t="inlineStr">
        <is>
          <t>Vide_1</t>
        </is>
      </c>
      <c r="AJ1" t="inlineStr">
        <is>
          <t>CONFIG_MES_INCUB</t>
        </is>
      </c>
      <c r="AK1" t="inlineStr">
        <is>
          <t>ACTION_1</t>
        </is>
      </c>
      <c r="AL1" t="inlineStr">
        <is>
          <t>ACTION_2</t>
        </is>
      </c>
      <c r="AM1" t="inlineStr">
        <is>
          <t>ACTION_3</t>
        </is>
      </c>
      <c r="AN1" t="inlineStr">
        <is>
          <t>ACTION_4</t>
        </is>
      </c>
      <c r="AO1" t="inlineStr">
        <is>
          <t>ACTION_5</t>
        </is>
      </c>
      <c r="AP1" t="inlineStr">
        <is>
          <t>ACTION_6</t>
        </is>
      </c>
      <c r="AQ1" t="inlineStr">
        <is>
          <t>ACTION_7</t>
        </is>
      </c>
      <c r="AR1" t="inlineStr">
        <is>
          <t>ACTION_8</t>
        </is>
      </c>
      <c r="AS1" t="inlineStr">
        <is>
          <t>ACTION_9</t>
        </is>
      </c>
      <c r="AT1" t="inlineStr">
        <is>
          <t>ACTION_10</t>
        </is>
      </c>
      <c r="AU1" t="inlineStr">
        <is>
          <t>ACTION_11</t>
        </is>
      </c>
      <c r="AV1" t="inlineStr">
        <is>
          <t>ACTION_12</t>
        </is>
      </c>
      <c r="AW1" t="inlineStr">
        <is>
          <t>ACTION_13</t>
        </is>
      </c>
      <c r="AX1" t="inlineStr">
        <is>
          <t>ACTION_14</t>
        </is>
      </c>
      <c r="AY1" t="inlineStr">
        <is>
          <t>ACTION_15</t>
        </is>
      </c>
      <c r="AZ1" t="inlineStr">
        <is>
          <t>TEMP_PLUIE</t>
        </is>
      </c>
      <c r="BA1" t="inlineStr">
        <is>
          <t>CHROMATO</t>
        </is>
      </c>
      <c r="BB1" t="inlineStr">
        <is>
          <t>EV_VIDANGE_ECORIUM</t>
        </is>
      </c>
      <c r="BC1" t="inlineStr">
        <is>
          <t>VIDANGE_CANIVEAU</t>
        </is>
      </c>
      <c r="BD1" t="inlineStr">
        <is>
          <t>EV_VIDANGE_CLIM</t>
        </is>
      </c>
      <c r="BE1" t="inlineStr">
        <is>
          <t>Vide_2</t>
        </is>
      </c>
      <c r="BF1" t="inlineStr">
        <is>
          <t>MAX T</t>
        </is>
      </c>
      <c r="BG1" t="inlineStr">
        <is>
          <t>MIN T</t>
        </is>
      </c>
      <c r="BH1" t="inlineStr">
        <is>
          <t>MAX HR</t>
        </is>
      </c>
      <c r="BI1" t="inlineStr">
        <is>
          <t>MIN HR</t>
        </is>
      </c>
      <c r="BJ1" t="inlineStr">
        <is>
          <t>tests valeurs Temp</t>
        </is>
      </c>
      <c r="BK1" t="inlineStr">
        <is>
          <t>tests valeurs Hum</t>
        </is>
      </c>
      <c r="BL1" t="inlineStr">
        <is>
          <t>MARCHE</t>
        </is>
      </c>
      <c r="BM1" t="inlineStr">
        <is>
          <t>HYG_Corrigée pour Temp &lt; 0</t>
        </is>
      </c>
      <c r="BN1" t="inlineStr">
        <is>
          <t>Min Temp</t>
        </is>
      </c>
      <c r="BO1" t="inlineStr">
        <is>
          <t>Max Temp</t>
        </is>
      </c>
      <c r="BP1" t="inlineStr">
        <is>
          <t>Temp Mode Mesure</t>
        </is>
      </c>
    </row>
    <row r="2">
      <c r="A2" t="n">
        <v>1</v>
      </c>
      <c r="B2">
        <f>MOD(INT(C2/60),60)</f>
        <v/>
      </c>
      <c r="C2" t="n">
        <v>0</v>
      </c>
      <c r="D2">
        <f>INT(C2/3600)</f>
        <v/>
      </c>
      <c r="E2">
        <f>INT(D2/24)+1</f>
        <v/>
      </c>
      <c r="F2" t="n">
        <v>1.5</v>
      </c>
      <c r="G2" t="n">
        <v>0</v>
      </c>
      <c r="H2">
        <f>$F2</f>
        <v/>
      </c>
      <c r="I2">
        <f>$F2</f>
        <v/>
      </c>
      <c r="J2">
        <f>$F2</f>
        <v/>
      </c>
      <c r="K2" t="n">
        <v>1</v>
      </c>
      <c r="L2" t="n">
        <v>96</v>
      </c>
      <c r="M2" t="n">
        <v>0</v>
      </c>
      <c r="N2" t="n">
        <v>0</v>
      </c>
      <c r="O2" t="n">
        <v>1</v>
      </c>
      <c r="P2" t="n">
        <v>450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>
        <f>A2+1</f>
        <v/>
      </c>
      <c r="B3">
        <f>MOD(INT(C3/60),60)</f>
        <v/>
      </c>
      <c r="C3">
        <f>C2+300</f>
        <v/>
      </c>
      <c r="D3">
        <f>INT(C3/3600)</f>
        <v/>
      </c>
      <c r="E3">
        <f>INT(D3/24)+1</f>
        <v/>
      </c>
      <c r="F3" t="n">
        <v>2</v>
      </c>
      <c r="G3" t="n">
        <v>0</v>
      </c>
      <c r="H3">
        <f>$F3</f>
        <v/>
      </c>
      <c r="I3">
        <f>$F3</f>
        <v/>
      </c>
      <c r="J3">
        <f>$F3</f>
        <v/>
      </c>
      <c r="K3" t="n">
        <v>1</v>
      </c>
      <c r="L3" t="n">
        <v>94</v>
      </c>
      <c r="M3" t="n">
        <v>0</v>
      </c>
      <c r="N3" t="n">
        <v>0</v>
      </c>
      <c r="O3" t="n">
        <v>1</v>
      </c>
      <c r="P3" t="n">
        <v>450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>
        <f>A3+1</f>
        <v/>
      </c>
      <c r="B4">
        <f>MOD(INT(C4/60),60)</f>
        <v/>
      </c>
      <c r="C4">
        <f>C3+300</f>
        <v/>
      </c>
      <c r="D4">
        <f>INT(C4/3600)</f>
        <v/>
      </c>
      <c r="E4">
        <f>INT(D4/24)+1</f>
        <v/>
      </c>
      <c r="F4" t="n">
        <v>1.8</v>
      </c>
      <c r="G4" t="n">
        <v>0</v>
      </c>
      <c r="H4">
        <f>$F4</f>
        <v/>
      </c>
      <c r="I4">
        <f>$F4</f>
        <v/>
      </c>
      <c r="J4">
        <f>$F4</f>
        <v/>
      </c>
      <c r="K4" t="n">
        <v>1</v>
      </c>
      <c r="L4" t="n">
        <v>95</v>
      </c>
      <c r="M4" t="n">
        <v>0</v>
      </c>
      <c r="N4" t="n">
        <v>0</v>
      </c>
      <c r="O4" t="n">
        <v>1</v>
      </c>
      <c r="P4" t="n">
        <v>450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>
        <f>A4+1</f>
        <v/>
      </c>
      <c r="B5">
        <f>MOD(INT(C5/60),60)</f>
        <v/>
      </c>
      <c r="C5">
        <f>C4+300</f>
        <v/>
      </c>
      <c r="D5">
        <f>INT(C5/3600)</f>
        <v/>
      </c>
      <c r="E5">
        <f>INT(D5/24)+1</f>
        <v/>
      </c>
      <c r="F5" t="n">
        <v>1.1</v>
      </c>
      <c r="G5" t="n">
        <v>0</v>
      </c>
      <c r="H5">
        <f>$F5</f>
        <v/>
      </c>
      <c r="I5">
        <f>$F5</f>
        <v/>
      </c>
      <c r="J5">
        <f>$F5</f>
        <v/>
      </c>
      <c r="K5" t="n">
        <v>1</v>
      </c>
      <c r="L5" t="n">
        <v>96</v>
      </c>
      <c r="M5" t="n">
        <v>0</v>
      </c>
      <c r="N5" t="n">
        <v>0</v>
      </c>
      <c r="O5" t="n">
        <v>1</v>
      </c>
      <c r="P5" t="n">
        <v>450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>
        <f>A5+1</f>
        <v/>
      </c>
      <c r="B6">
        <f>MOD(INT(C6/60),60)</f>
        <v/>
      </c>
      <c r="C6">
        <f>C5+300</f>
        <v/>
      </c>
      <c r="D6">
        <f>INT(C6/3600)</f>
        <v/>
      </c>
      <c r="E6">
        <f>INT(D6/24)+1</f>
        <v/>
      </c>
      <c r="F6" t="n">
        <v>0.3</v>
      </c>
      <c r="G6" t="n">
        <v>0</v>
      </c>
      <c r="H6">
        <f>$F6</f>
        <v/>
      </c>
      <c r="I6">
        <f>$F6</f>
        <v/>
      </c>
      <c r="J6">
        <f>$F6</f>
        <v/>
      </c>
      <c r="K6" t="n">
        <v>1</v>
      </c>
      <c r="L6" t="n">
        <v>97</v>
      </c>
      <c r="M6" t="n">
        <v>0</v>
      </c>
      <c r="N6" t="n">
        <v>0</v>
      </c>
      <c r="O6" t="n">
        <v>1</v>
      </c>
      <c r="P6" t="n">
        <v>450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>
        <f>A6+1</f>
        <v/>
      </c>
      <c r="B7">
        <f>MOD(INT(C7/60),60)</f>
        <v/>
      </c>
      <c r="C7">
        <f>C6+300</f>
        <v/>
      </c>
      <c r="D7">
        <f>INT(C7/3600)</f>
        <v/>
      </c>
      <c r="E7">
        <f>INT(D7/24)+1</f>
        <v/>
      </c>
      <c r="F7" t="n">
        <v>-0.1</v>
      </c>
      <c r="G7" t="n">
        <v>0</v>
      </c>
      <c r="H7">
        <f>$F7</f>
        <v/>
      </c>
      <c r="I7">
        <f>$F7</f>
        <v/>
      </c>
      <c r="J7">
        <f>$F7</f>
        <v/>
      </c>
      <c r="K7" t="n">
        <v>1</v>
      </c>
      <c r="L7" t="n">
        <v>97</v>
      </c>
      <c r="M7" t="n">
        <v>0</v>
      </c>
      <c r="N7" t="n">
        <v>0</v>
      </c>
      <c r="O7" t="n">
        <v>1</v>
      </c>
      <c r="P7" t="n">
        <v>450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>
        <f>A7+1</f>
        <v/>
      </c>
      <c r="B8">
        <f>MOD(INT(C8/60),60)</f>
        <v/>
      </c>
      <c r="C8">
        <f>C7+300</f>
        <v/>
      </c>
      <c r="D8">
        <f>INT(C8/3600)</f>
        <v/>
      </c>
      <c r="E8">
        <f>INT(D8/24)+1</f>
        <v/>
      </c>
      <c r="F8" t="n">
        <v>-0.3</v>
      </c>
      <c r="G8" t="n">
        <v>0</v>
      </c>
      <c r="H8">
        <f>$F8</f>
        <v/>
      </c>
      <c r="I8">
        <f>$F8</f>
        <v/>
      </c>
      <c r="J8">
        <f>$F8</f>
        <v/>
      </c>
      <c r="K8" t="n">
        <v>1</v>
      </c>
      <c r="L8" t="n">
        <v>97</v>
      </c>
      <c r="M8" t="n">
        <v>0</v>
      </c>
      <c r="N8" t="n">
        <v>0</v>
      </c>
      <c r="O8" t="n">
        <v>1</v>
      </c>
      <c r="P8" t="n">
        <v>450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>
        <f>A8+1</f>
        <v/>
      </c>
      <c r="B9">
        <f>MOD(INT(C9/60),60)</f>
        <v/>
      </c>
      <c r="C9">
        <f>C8+300</f>
        <v/>
      </c>
      <c r="D9">
        <f>INT(C9/3600)</f>
        <v/>
      </c>
      <c r="E9">
        <f>INT(D9/24)+1</f>
        <v/>
      </c>
      <c r="F9" t="n">
        <v>-0.6</v>
      </c>
      <c r="G9" t="n">
        <v>0</v>
      </c>
      <c r="H9">
        <f>$F9</f>
        <v/>
      </c>
      <c r="I9">
        <f>$F9</f>
        <v/>
      </c>
      <c r="J9">
        <f>$F9</f>
        <v/>
      </c>
      <c r="K9" t="n">
        <v>1</v>
      </c>
      <c r="L9" t="n">
        <v>97</v>
      </c>
      <c r="M9" t="n">
        <v>0</v>
      </c>
      <c r="N9" t="n">
        <v>0</v>
      </c>
      <c r="O9" t="n">
        <v>1</v>
      </c>
      <c r="P9" t="n">
        <v>450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>
        <f>A9+1</f>
        <v/>
      </c>
      <c r="B10">
        <f>MOD(INT(C10/60),60)</f>
        <v/>
      </c>
      <c r="C10">
        <f>C9+300</f>
        <v/>
      </c>
      <c r="D10">
        <f>INT(C10/3600)</f>
        <v/>
      </c>
      <c r="E10">
        <f>INT(D10/24)+1</f>
        <v/>
      </c>
      <c r="F10" t="n">
        <v>-1.1</v>
      </c>
      <c r="G10" t="n">
        <v>0</v>
      </c>
      <c r="H10">
        <f>$F10</f>
        <v/>
      </c>
      <c r="I10">
        <f>$F10</f>
        <v/>
      </c>
      <c r="J10">
        <f>$F10</f>
        <v/>
      </c>
      <c r="K10" t="n">
        <v>1</v>
      </c>
      <c r="L10" t="n">
        <v>97</v>
      </c>
      <c r="M10" t="n">
        <v>0</v>
      </c>
      <c r="N10" t="n">
        <v>0</v>
      </c>
      <c r="O10" t="n">
        <v>1</v>
      </c>
      <c r="P10" t="n">
        <v>450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>
        <f>A10+1</f>
        <v/>
      </c>
      <c r="B11">
        <f>MOD(INT(C11/60),60)</f>
        <v/>
      </c>
      <c r="C11">
        <f>C10+300</f>
        <v/>
      </c>
      <c r="D11">
        <f>INT(C11/3600)</f>
        <v/>
      </c>
      <c r="E11">
        <f>INT(D11/24)+1</f>
        <v/>
      </c>
      <c r="F11" t="n">
        <v>-0.5</v>
      </c>
      <c r="G11" t="n">
        <v>0</v>
      </c>
      <c r="H11">
        <f>$F11</f>
        <v/>
      </c>
      <c r="I11">
        <f>$F11</f>
        <v/>
      </c>
      <c r="J11">
        <f>$F11</f>
        <v/>
      </c>
      <c r="K11" t="n">
        <v>1</v>
      </c>
      <c r="L11" t="n">
        <v>96</v>
      </c>
      <c r="M11" t="n">
        <v>0</v>
      </c>
      <c r="N11" t="n">
        <v>0</v>
      </c>
      <c r="O11" t="n">
        <v>1</v>
      </c>
      <c r="P11" t="n">
        <v>450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>
        <f>A11+1</f>
        <v/>
      </c>
      <c r="B12">
        <f>MOD(INT(C12/60),60)</f>
        <v/>
      </c>
      <c r="C12">
        <f>C11+300</f>
        <v/>
      </c>
      <c r="D12">
        <f>INT(C12/3600)</f>
        <v/>
      </c>
      <c r="E12">
        <f>INT(D12/24)+1</f>
        <v/>
      </c>
      <c r="F12" t="n">
        <v>1.1</v>
      </c>
      <c r="G12" t="n">
        <v>0</v>
      </c>
      <c r="H12">
        <f>$F12</f>
        <v/>
      </c>
      <c r="I12">
        <f>$F12</f>
        <v/>
      </c>
      <c r="J12">
        <f>$F12</f>
        <v/>
      </c>
      <c r="K12" t="n">
        <v>1</v>
      </c>
      <c r="L12" t="n">
        <v>93</v>
      </c>
      <c r="M12" t="n">
        <v>0</v>
      </c>
      <c r="N12" t="n">
        <v>0</v>
      </c>
      <c r="O12" t="n">
        <v>1</v>
      </c>
      <c r="P12" t="n">
        <v>450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>
        <f>A12+1</f>
        <v/>
      </c>
      <c r="B13">
        <f>MOD(INT(C13/60),60)</f>
        <v/>
      </c>
      <c r="C13">
        <f>C12+300</f>
        <v/>
      </c>
      <c r="D13">
        <f>INT(C13/3600)</f>
        <v/>
      </c>
      <c r="E13">
        <f>INT(D13/24)+1</f>
        <v/>
      </c>
      <c r="F13" t="n">
        <v>2.5</v>
      </c>
      <c r="G13" t="n">
        <v>0</v>
      </c>
      <c r="H13">
        <f>$F13</f>
        <v/>
      </c>
      <c r="I13">
        <f>$F13</f>
        <v/>
      </c>
      <c r="J13">
        <f>$F13</f>
        <v/>
      </c>
      <c r="K13" t="n">
        <v>1</v>
      </c>
      <c r="L13" t="n">
        <v>89</v>
      </c>
      <c r="M13" t="n">
        <v>0</v>
      </c>
      <c r="N13" t="n">
        <v>0</v>
      </c>
      <c r="O13" t="n">
        <v>1</v>
      </c>
      <c r="P13" t="n">
        <v>450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>
        <f>A13+1</f>
        <v/>
      </c>
      <c r="B14">
        <f>MOD(INT(C14/60),60)</f>
        <v/>
      </c>
      <c r="C14">
        <f>C13+300</f>
        <v/>
      </c>
      <c r="D14">
        <f>INT(C14/3600)</f>
        <v/>
      </c>
      <c r="E14">
        <f>INT(D14/24)+1</f>
        <v/>
      </c>
      <c r="F14" t="n">
        <v>3.5</v>
      </c>
      <c r="G14" t="n">
        <v>0</v>
      </c>
      <c r="H14">
        <f>$F14</f>
        <v/>
      </c>
      <c r="I14">
        <f>$F14</f>
        <v/>
      </c>
      <c r="J14">
        <f>$F14</f>
        <v/>
      </c>
      <c r="K14" t="n">
        <v>1</v>
      </c>
      <c r="L14" t="n">
        <v>87</v>
      </c>
      <c r="M14" t="n">
        <v>0</v>
      </c>
      <c r="N14" t="n">
        <v>0</v>
      </c>
      <c r="O14" t="n">
        <v>1</v>
      </c>
      <c r="P14" t="n">
        <v>450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>
        <f>A14+1</f>
        <v/>
      </c>
      <c r="B15">
        <f>MOD(INT(C15/60),60)</f>
        <v/>
      </c>
      <c r="C15">
        <f>C14+300</f>
        <v/>
      </c>
      <c r="D15">
        <f>INT(C15/3600)</f>
        <v/>
      </c>
      <c r="E15">
        <f>INT(D15/24)+1</f>
        <v/>
      </c>
      <c r="F15" t="n">
        <v>4</v>
      </c>
      <c r="G15" t="n">
        <v>0</v>
      </c>
      <c r="H15">
        <f>$F15</f>
        <v/>
      </c>
      <c r="I15">
        <f>$F15</f>
        <v/>
      </c>
      <c r="J15">
        <f>$F15</f>
        <v/>
      </c>
      <c r="K15" t="n">
        <v>1</v>
      </c>
      <c r="L15" t="n">
        <v>81</v>
      </c>
      <c r="M15" t="n">
        <v>0</v>
      </c>
      <c r="N15" t="n">
        <v>0</v>
      </c>
      <c r="O15" t="n">
        <v>1</v>
      </c>
      <c r="P15" t="n">
        <v>450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>
        <f>A15+1</f>
        <v/>
      </c>
      <c r="B16">
        <f>MOD(INT(C16/60),60)</f>
        <v/>
      </c>
      <c r="C16">
        <f>C15+300</f>
        <v/>
      </c>
      <c r="D16">
        <f>INT(C16/3600)</f>
        <v/>
      </c>
      <c r="E16">
        <f>INT(D16/24)+1</f>
        <v/>
      </c>
      <c r="F16" t="n">
        <v>4</v>
      </c>
      <c r="G16" t="n">
        <v>0</v>
      </c>
      <c r="H16">
        <f>$F16</f>
        <v/>
      </c>
      <c r="I16">
        <f>$F16</f>
        <v/>
      </c>
      <c r="J16">
        <f>$F16</f>
        <v/>
      </c>
      <c r="K16" t="n">
        <v>1</v>
      </c>
      <c r="L16" t="n">
        <v>75</v>
      </c>
      <c r="M16" t="n">
        <v>0</v>
      </c>
      <c r="N16" t="n">
        <v>0</v>
      </c>
      <c r="O16" t="n">
        <v>1</v>
      </c>
      <c r="P16" t="n">
        <v>450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>
        <f>A16+1</f>
        <v/>
      </c>
      <c r="B17">
        <f>MOD(INT(C17/60),60)</f>
        <v/>
      </c>
      <c r="C17">
        <f>C16+300</f>
        <v/>
      </c>
      <c r="D17">
        <f>INT(C17/3600)</f>
        <v/>
      </c>
      <c r="E17">
        <f>INT(D17/24)+1</f>
        <v/>
      </c>
      <c r="F17" t="n">
        <v>3.5</v>
      </c>
      <c r="G17" t="n">
        <v>0</v>
      </c>
      <c r="H17">
        <f>$F17</f>
        <v/>
      </c>
      <c r="I17">
        <f>$F17</f>
        <v/>
      </c>
      <c r="J17">
        <f>$F17</f>
        <v/>
      </c>
      <c r="K17" t="n">
        <v>1</v>
      </c>
      <c r="L17" t="n">
        <v>79</v>
      </c>
      <c r="M17" t="n">
        <v>0</v>
      </c>
      <c r="N17" t="n">
        <v>0</v>
      </c>
      <c r="O17" t="n">
        <v>1</v>
      </c>
      <c r="P17" t="n">
        <v>450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>
        <f>A17+1</f>
        <v/>
      </c>
      <c r="B18">
        <f>MOD(INT(C18/60),60)</f>
        <v/>
      </c>
      <c r="C18">
        <f>C17+300</f>
        <v/>
      </c>
      <c r="D18">
        <f>INT(C18/3600)</f>
        <v/>
      </c>
      <c r="E18">
        <f>INT(D18/24)+1</f>
        <v/>
      </c>
      <c r="F18" t="n">
        <v>2</v>
      </c>
      <c r="G18" t="n">
        <v>0</v>
      </c>
      <c r="H18">
        <f>$F18</f>
        <v/>
      </c>
      <c r="I18">
        <f>$F18</f>
        <v/>
      </c>
      <c r="J18">
        <f>$F18</f>
        <v/>
      </c>
      <c r="K18" t="n">
        <v>1</v>
      </c>
      <c r="L18" t="n">
        <v>89</v>
      </c>
      <c r="M18" t="n">
        <v>0</v>
      </c>
      <c r="N18" t="n">
        <v>0</v>
      </c>
      <c r="O18" t="n">
        <v>1</v>
      </c>
      <c r="P18" t="n">
        <v>450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>
        <f>A18+1</f>
        <v/>
      </c>
      <c r="B19">
        <f>MOD(INT(C19/60),60)</f>
        <v/>
      </c>
      <c r="C19">
        <f>C18+300</f>
        <v/>
      </c>
      <c r="D19">
        <f>INT(C19/3600)</f>
        <v/>
      </c>
      <c r="E19">
        <f>INT(D19/24)+1</f>
        <v/>
      </c>
      <c r="F19" t="n">
        <v>0.7</v>
      </c>
      <c r="G19" t="n">
        <v>0</v>
      </c>
      <c r="H19">
        <f>$F19</f>
        <v/>
      </c>
      <c r="I19">
        <f>$F19</f>
        <v/>
      </c>
      <c r="J19">
        <f>$F19</f>
        <v/>
      </c>
      <c r="K19" t="n">
        <v>1</v>
      </c>
      <c r="L19" t="n">
        <v>93</v>
      </c>
      <c r="M19" t="n">
        <v>0</v>
      </c>
      <c r="N19" t="n">
        <v>0</v>
      </c>
      <c r="O19" t="n">
        <v>1</v>
      </c>
      <c r="P19" t="n">
        <v>450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>
        <f>A19+1</f>
        <v/>
      </c>
      <c r="B20">
        <f>MOD(INT(C20/60),60)</f>
        <v/>
      </c>
      <c r="C20">
        <f>C19+300</f>
        <v/>
      </c>
      <c r="D20">
        <f>INT(C20/3600)</f>
        <v/>
      </c>
      <c r="E20">
        <f>INT(D20/24)+1</f>
        <v/>
      </c>
      <c r="F20" t="n">
        <v>0.2</v>
      </c>
      <c r="G20" t="n">
        <v>0</v>
      </c>
      <c r="H20">
        <f>$F20</f>
        <v/>
      </c>
      <c r="I20">
        <f>$F20</f>
        <v/>
      </c>
      <c r="J20">
        <f>$F20</f>
        <v/>
      </c>
      <c r="K20" t="n">
        <v>1</v>
      </c>
      <c r="L20" t="n">
        <v>95</v>
      </c>
      <c r="M20" t="n">
        <v>0</v>
      </c>
      <c r="N20" t="n">
        <v>0</v>
      </c>
      <c r="O20" t="n">
        <v>1</v>
      </c>
      <c r="P20" t="n">
        <v>450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>
        <f>A20+1</f>
        <v/>
      </c>
      <c r="B21">
        <f>MOD(INT(C21/60),60)</f>
        <v/>
      </c>
      <c r="C21">
        <f>C20+300</f>
        <v/>
      </c>
      <c r="D21">
        <f>INT(C21/3600)</f>
        <v/>
      </c>
      <c r="E21">
        <f>INT(D21/24)+1</f>
        <v/>
      </c>
      <c r="F21" t="n">
        <v>0.1</v>
      </c>
      <c r="G21" t="n">
        <v>0</v>
      </c>
      <c r="H21">
        <f>$F21</f>
        <v/>
      </c>
      <c r="I21">
        <f>$F21</f>
        <v/>
      </c>
      <c r="J21">
        <f>$F21</f>
        <v/>
      </c>
      <c r="K21" t="n">
        <v>1</v>
      </c>
      <c r="L21" t="n">
        <v>95</v>
      </c>
      <c r="M21" t="n">
        <v>0</v>
      </c>
      <c r="N21" t="n">
        <v>0</v>
      </c>
      <c r="O21" t="n">
        <v>1</v>
      </c>
      <c r="P21" t="n">
        <v>450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>
        <f>A21+1</f>
        <v/>
      </c>
      <c r="B22">
        <f>MOD(INT(C22/60),60)</f>
        <v/>
      </c>
      <c r="C22">
        <f>C21+300</f>
        <v/>
      </c>
      <c r="D22">
        <f>INT(C22/3600)</f>
        <v/>
      </c>
      <c r="E22">
        <f>INT(D22/24)+1</f>
        <v/>
      </c>
      <c r="F22" t="n">
        <v>-0.4</v>
      </c>
      <c r="G22" t="n">
        <v>0</v>
      </c>
      <c r="H22">
        <f>$F22</f>
        <v/>
      </c>
      <c r="I22">
        <f>$F22</f>
        <v/>
      </c>
      <c r="J22">
        <f>$F22</f>
        <v/>
      </c>
      <c r="K22" t="n">
        <v>1</v>
      </c>
      <c r="L22" t="n">
        <v>94</v>
      </c>
      <c r="M22" t="n">
        <v>0</v>
      </c>
      <c r="N22" t="n">
        <v>0</v>
      </c>
      <c r="O22" t="n">
        <v>1</v>
      </c>
      <c r="P22" t="n">
        <v>450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>
        <f>A22+1</f>
        <v/>
      </c>
      <c r="B23">
        <f>MOD(INT(C23/60),60)</f>
        <v/>
      </c>
      <c r="C23">
        <f>C22+300</f>
        <v/>
      </c>
      <c r="D23">
        <f>INT(C23/3600)</f>
        <v/>
      </c>
      <c r="E23">
        <f>INT(D23/24)+1</f>
        <v/>
      </c>
      <c r="F23" t="n">
        <v>-0.6</v>
      </c>
      <c r="G23" t="n">
        <v>0</v>
      </c>
      <c r="H23">
        <f>$F23</f>
        <v/>
      </c>
      <c r="I23">
        <f>$F23</f>
        <v/>
      </c>
      <c r="J23">
        <f>$F23</f>
        <v/>
      </c>
      <c r="K23" t="n">
        <v>1</v>
      </c>
      <c r="L23" t="n">
        <v>93</v>
      </c>
      <c r="M23" t="n">
        <v>0</v>
      </c>
      <c r="N23" t="n">
        <v>0</v>
      </c>
      <c r="O23" t="n">
        <v>1</v>
      </c>
      <c r="P23" t="n">
        <v>450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>
        <f>A23+1</f>
        <v/>
      </c>
      <c r="B24">
        <f>MOD(INT(C24/60),60)</f>
        <v/>
      </c>
      <c r="C24">
        <f>C23+300</f>
        <v/>
      </c>
      <c r="D24">
        <f>INT(C24/3600)</f>
        <v/>
      </c>
      <c r="E24">
        <f>INT(D24/24)+1</f>
        <v/>
      </c>
      <c r="F24" t="n">
        <v>-0.9</v>
      </c>
      <c r="G24" t="n">
        <v>0</v>
      </c>
      <c r="H24">
        <f>$F24</f>
        <v/>
      </c>
      <c r="I24">
        <f>$F24</f>
        <v/>
      </c>
      <c r="J24">
        <f>$F24</f>
        <v/>
      </c>
      <c r="K24" t="n">
        <v>1</v>
      </c>
      <c r="L24" t="n">
        <v>92</v>
      </c>
      <c r="M24" t="n">
        <v>0</v>
      </c>
      <c r="N24" t="n">
        <v>0</v>
      </c>
      <c r="O24" t="n">
        <v>1</v>
      </c>
      <c r="P24" t="n">
        <v>450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>
        <f>A24+1</f>
        <v/>
      </c>
      <c r="B25">
        <f>MOD(INT(C25/60),60)</f>
        <v/>
      </c>
      <c r="C25">
        <f>C24+300</f>
        <v/>
      </c>
      <c r="D25">
        <f>INT(C25/3600)</f>
        <v/>
      </c>
      <c r="E25">
        <f>INT(D25/24)+1</f>
        <v/>
      </c>
      <c r="F25" t="n">
        <v>-2.2</v>
      </c>
      <c r="G25" t="n">
        <v>0</v>
      </c>
      <c r="H25">
        <f>$F25</f>
        <v/>
      </c>
      <c r="I25">
        <f>$F25</f>
        <v/>
      </c>
      <c r="J25">
        <f>$F25</f>
        <v/>
      </c>
      <c r="K25" t="n">
        <v>1</v>
      </c>
      <c r="L25" t="n">
        <v>92</v>
      </c>
      <c r="M25" t="n">
        <v>0</v>
      </c>
      <c r="N25" t="n">
        <v>0</v>
      </c>
      <c r="O25" t="n">
        <v>1</v>
      </c>
      <c r="P25" t="n">
        <v>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G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4">
      <c r="A4" s="1" t="inlineStr">
        <is>
          <t>Anticipation (min)</t>
        </is>
      </c>
      <c r="B4" s="1" t="n">
        <v>60</v>
      </c>
    </row>
    <row r="5">
      <c r="A5" s="1" t="inlineStr">
        <is>
          <t>Fortes Chaleurs</t>
        </is>
      </c>
      <c r="B5" s="2" t="n">
        <v>0</v>
      </c>
    </row>
    <row r="7">
      <c r="A7" s="3" t="inlineStr">
        <is>
          <t>Configuration Régulation ECORIUM</t>
        </is>
      </c>
    </row>
    <row r="14">
      <c r="A14" s="3" t="inlineStr">
        <is>
          <t>Configuration Thermofrigopompe</t>
        </is>
      </c>
    </row>
    <row r="20">
      <c r="A20" s="3" t="inlineStr">
        <is>
          <t>Réglage Thermofrigopompe</t>
        </is>
      </c>
    </row>
  </sheetData>
  <mergeCells count="3">
    <mergeCell ref="A14:G14"/>
    <mergeCell ref="A20:D20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2026-01-29T08:29:47Z</dcterms:created>
  <dcterms:modified xsi:type="dcterms:W3CDTF">2026-01-29T08:29:47Z</dcterms:modified>
</cp:coreProperties>
</file>